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7FB6502-2F21-4CA6-AAC3-18DC51FDEE64}" xr6:coauthVersionLast="47" xr6:coauthVersionMax="47" xr10:uidLastSave="{00000000-0000-0000-0000-000000000000}"/>
  <bookViews>
    <workbookView xWindow="-110" yWindow="-110" windowWidth="19420" windowHeight="10300" xr2:uid="{4A1A08FF-67C7-4FDB-A70E-56E52B904BC2}"/>
  </bookViews>
  <sheets>
    <sheet name="12,13 y 15-01-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58" i="1" l="1"/>
  <c r="K157" i="1"/>
  <c r="K159" i="1" s="1"/>
  <c r="S150" i="1"/>
  <c r="R150" i="1"/>
  <c r="R151" i="1" s="1"/>
  <c r="Q150" i="1"/>
  <c r="Q151" i="1" s="1"/>
  <c r="P150" i="1"/>
  <c r="P151" i="1" s="1"/>
  <c r="O150" i="1"/>
  <c r="O151" i="1" s="1"/>
  <c r="M150" i="1"/>
  <c r="M151" i="1" s="1"/>
  <c r="L150" i="1"/>
  <c r="L151" i="1" s="1"/>
  <c r="K150" i="1"/>
  <c r="J150" i="1"/>
  <c r="I150" i="1"/>
  <c r="I151" i="1" s="1"/>
  <c r="G150" i="1"/>
  <c r="G151" i="1" s="1"/>
  <c r="F150" i="1"/>
  <c r="F151" i="1" s="1"/>
  <c r="E150" i="1"/>
  <c r="E151" i="1" s="1"/>
  <c r="D150" i="1"/>
  <c r="D151" i="1" s="1"/>
  <c r="C150" i="1"/>
  <c r="C151" i="1" s="1"/>
  <c r="C152" i="1" s="1"/>
  <c r="S148" i="1"/>
  <c r="S151" i="1" s="1"/>
  <c r="R148" i="1"/>
  <c r="Q148" i="1"/>
  <c r="P148" i="1"/>
  <c r="O148" i="1"/>
  <c r="O149" i="1" s="1"/>
  <c r="M148" i="1"/>
  <c r="L148" i="1"/>
  <c r="K148" i="1"/>
  <c r="K151" i="1" s="1"/>
  <c r="J148" i="1"/>
  <c r="J151" i="1" s="1"/>
  <c r="I148" i="1"/>
  <c r="I149" i="1" s="1"/>
  <c r="G148" i="1"/>
  <c r="F148" i="1"/>
  <c r="E148" i="1"/>
  <c r="D148" i="1"/>
  <c r="C148" i="1"/>
  <c r="C149" i="1" s="1"/>
  <c r="U18" i="1"/>
  <c r="U19" i="1" s="1"/>
  <c r="O152" i="1" l="1"/>
  <c r="I152" i="1"/>
  <c r="T152" i="1" l="1"/>
  <c r="T153" i="1" s="1"/>
  <c r="T154" i="1" s="1"/>
  <c r="U20" i="1"/>
  <c r="O153" i="1"/>
  <c r="I153" i="1" l="1"/>
  <c r="K154" i="1" s="1"/>
  <c r="Q154" i="1" s="1"/>
</calcChain>
</file>

<file path=xl/sharedStrings.xml><?xml version="1.0" encoding="utf-8"?>
<sst xmlns="http://schemas.openxmlformats.org/spreadsheetml/2006/main" count="55" uniqueCount="41">
  <si>
    <t>FINCA JIREH</t>
  </si>
  <si>
    <t>REGISTRO DE COSECHAS</t>
  </si>
  <si>
    <t>Datos de Plantación / Clasificación Finca</t>
  </si>
  <si>
    <t>CULTIVO:</t>
  </si>
  <si>
    <t>Pitahaya</t>
  </si>
  <si>
    <t>CÓDIGO:</t>
  </si>
  <si>
    <t>Peso Gaveta:</t>
  </si>
  <si>
    <t>COMPRADOR:</t>
  </si>
  <si>
    <t>PTC</t>
  </si>
  <si>
    <t>FUNDA:</t>
  </si>
  <si>
    <t>ROJA</t>
  </si>
  <si>
    <t>FECHA / CONCEPTO</t>
  </si>
  <si>
    <t>COSECHADO</t>
  </si>
  <si>
    <t>TIPO</t>
  </si>
  <si>
    <t xml:space="preserve">EXPORTACIÓN </t>
  </si>
  <si>
    <t>NACIONAL</t>
  </si>
  <si>
    <t>RECHAZO PTC</t>
  </si>
  <si>
    <t>L1</t>
  </si>
  <si>
    <t>L2</t>
  </si>
  <si>
    <t>L3</t>
  </si>
  <si>
    <t>L4</t>
  </si>
  <si>
    <t>L5</t>
  </si>
  <si>
    <t>12, 13 y 15/01/2026</t>
  </si>
  <si>
    <t>G</t>
  </si>
  <si>
    <t>N1</t>
  </si>
  <si>
    <t>Fruta pequeña</t>
  </si>
  <si>
    <t>desde 155 gr. a 280</t>
  </si>
  <si>
    <t>Peso Neto</t>
  </si>
  <si>
    <t>Rechazo PTC / exp. entregado</t>
  </si>
  <si>
    <t>N2</t>
  </si>
  <si>
    <t>N3</t>
  </si>
  <si>
    <t>P</t>
  </si>
  <si>
    <t>Gavetas Cosecha</t>
  </si>
  <si>
    <t>Total Gavetas</t>
  </si>
  <si>
    <t>Peso Bruto</t>
  </si>
  <si>
    <t>Total exp + nac</t>
  </si>
  <si>
    <t>Peso Neto Total</t>
  </si>
  <si>
    <t>% fruta</t>
  </si>
  <si>
    <t>P. Br</t>
  </si>
  <si>
    <t>P. Net</t>
  </si>
  <si>
    <t>a esto hay que restar el rechazo de PTC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</si>
</sst>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1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8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name val="Calibri"/>
    </font>
    <font>
      <sz val="9"/>
      <color theme="1"/>
      <name val="Calibri"/>
    </font>
    <font>
      <sz val="10"/>
      <color theme="1"/>
      <name val="Calibri"/>
    </font>
    <font>
      <sz val="9"/>
      <color theme="1"/>
      <name val="Calibri"/>
      <scheme val="minor"/>
    </font>
    <font>
      <sz val="10"/>
      <color theme="1"/>
      <name val="Calibri"/>
      <scheme val="minor"/>
    </font>
    <font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5" fillId="0" borderId="7" xfId="0" applyFont="1" applyBorder="1"/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0" borderId="11" xfId="0" applyFont="1" applyBorder="1"/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9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/>
    <xf numFmtId="0" fontId="4" fillId="2" borderId="10" xfId="0" applyFont="1" applyFill="1" applyBorder="1"/>
    <xf numFmtId="0" fontId="4" fillId="2" borderId="8" xfId="0" applyFont="1" applyFill="1" applyBorder="1"/>
    <xf numFmtId="0" fontId="7" fillId="0" borderId="9" xfId="0" applyFont="1" applyBorder="1"/>
    <xf numFmtId="0" fontId="7" fillId="0" borderId="0" xfId="0" applyFont="1" applyAlignment="1">
      <alignment horizontal="left"/>
    </xf>
    <xf numFmtId="10" fontId="6" fillId="0" borderId="0" xfId="0" applyNumberFormat="1" applyFont="1"/>
    <xf numFmtId="0" fontId="6" fillId="0" borderId="0" xfId="0" applyFont="1"/>
    <xf numFmtId="0" fontId="3" fillId="0" borderId="9" xfId="0" applyFont="1" applyBorder="1"/>
    <xf numFmtId="0" fontId="1" fillId="0" borderId="0" xfId="0" applyFont="1"/>
    <xf numFmtId="0" fontId="4" fillId="0" borderId="8" xfId="0" applyFont="1" applyBorder="1" applyAlignment="1">
      <alignment horizontal="right"/>
    </xf>
    <xf numFmtId="0" fontId="4" fillId="0" borderId="9" xfId="0" applyFont="1" applyBorder="1" applyAlignment="1">
      <alignment horizontal="right"/>
    </xf>
    <xf numFmtId="0" fontId="4" fillId="2" borderId="9" xfId="0" applyFont="1" applyFill="1" applyBorder="1" applyAlignment="1">
      <alignment horizontal="right"/>
    </xf>
    <xf numFmtId="0" fontId="4" fillId="2" borderId="10" xfId="0" applyFont="1" applyFill="1" applyBorder="1" applyAlignment="1">
      <alignment horizontal="right"/>
    </xf>
    <xf numFmtId="0" fontId="4" fillId="0" borderId="10" xfId="0" applyFont="1" applyBorder="1" applyAlignment="1">
      <alignment horizontal="right"/>
    </xf>
    <xf numFmtId="3" fontId="4" fillId="0" borderId="12" xfId="0" applyNumberFormat="1" applyFont="1" applyBorder="1" applyAlignment="1">
      <alignment horizontal="center"/>
    </xf>
    <xf numFmtId="0" fontId="5" fillId="0" borderId="13" xfId="0" applyFont="1" applyBorder="1"/>
    <xf numFmtId="0" fontId="5" fillId="0" borderId="14" xfId="0" applyFont="1" applyBorder="1"/>
    <xf numFmtId="3" fontId="4" fillId="3" borderId="12" xfId="0" applyNumberFormat="1" applyFont="1" applyFill="1" applyBorder="1" applyAlignment="1">
      <alignment horizontal="center"/>
    </xf>
    <xf numFmtId="0" fontId="7" fillId="0" borderId="0" xfId="0" applyFont="1"/>
    <xf numFmtId="4" fontId="4" fillId="0" borderId="12" xfId="0" applyNumberFormat="1" applyFont="1" applyBorder="1" applyAlignment="1">
      <alignment horizontal="center"/>
    </xf>
    <xf numFmtId="0" fontId="4" fillId="2" borderId="15" xfId="0" applyFont="1" applyFill="1" applyBorder="1"/>
    <xf numFmtId="4" fontId="4" fillId="3" borderId="16" xfId="0" applyNumberFormat="1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4" fontId="4" fillId="0" borderId="16" xfId="0" applyNumberFormat="1" applyFont="1" applyBorder="1" applyAlignment="1">
      <alignment horizontal="center"/>
    </xf>
    <xf numFmtId="4" fontId="4" fillId="0" borderId="0" xfId="0" applyNumberFormat="1" applyFont="1" applyAlignment="1">
      <alignment horizontal="left"/>
    </xf>
    <xf numFmtId="10" fontId="7" fillId="0" borderId="0" xfId="0" applyNumberFormat="1" applyFont="1" applyAlignment="1">
      <alignment horizontal="center"/>
    </xf>
    <xf numFmtId="4" fontId="7" fillId="0" borderId="0" xfId="0" applyNumberFormat="1" applyFont="1"/>
    <xf numFmtId="10" fontId="10" fillId="0" borderId="0" xfId="0" applyNumberFormat="1" applyFont="1"/>
    <xf numFmtId="164" fontId="7" fillId="0" borderId="0" xfId="0" applyNumberFormat="1" applyFont="1" applyAlignment="1">
      <alignment horizontal="left"/>
    </xf>
    <xf numFmtId="0" fontId="4" fillId="0" borderId="17" xfId="0" applyFont="1" applyBorder="1"/>
    <xf numFmtId="0" fontId="8" fillId="0" borderId="0" xfId="0" applyFont="1" applyAlignment="1">
      <alignment horizontal="left"/>
    </xf>
    <xf numFmtId="0" fontId="8" fillId="0" borderId="0" xfId="0" applyFont="1" applyFill="1"/>
    <xf numFmtId="0" fontId="1" fillId="0" borderId="0" xfId="0" applyFont="1" applyFill="1"/>
    <xf numFmtId="0" fontId="9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1BAB6-2956-43B8-93BB-A5AAB5A5BF62}">
  <dimension ref="A1:AA1118"/>
  <sheetViews>
    <sheetView tabSelected="1" workbookViewId="0">
      <selection activeCell="J151" sqref="J151"/>
    </sheetView>
  </sheetViews>
  <sheetFormatPr baseColWidth="10" defaultColWidth="14.453125" defaultRowHeight="15" customHeight="1"/>
  <cols>
    <col min="1" max="1" width="4" customWidth="1"/>
    <col min="2" max="2" width="17.54296875" customWidth="1"/>
    <col min="3" max="3" width="6.81640625" customWidth="1"/>
    <col min="4" max="8" width="6.54296875" customWidth="1"/>
    <col min="9" max="9" width="7.54296875" customWidth="1"/>
    <col min="10" max="14" width="6.54296875" customWidth="1"/>
    <col min="15" max="15" width="7.54296875" customWidth="1"/>
    <col min="16" max="20" width="6.54296875" customWidth="1"/>
    <col min="21" max="27" width="10.7265625" customWidth="1"/>
  </cols>
  <sheetData>
    <row r="1" spans="1:27" ht="23.5">
      <c r="A1" s="1"/>
      <c r="B1" s="2" t="s">
        <v>0</v>
      </c>
      <c r="C1" s="3"/>
      <c r="D1" s="3"/>
    </row>
    <row r="2" spans="1:27" ht="6.75" customHeight="1">
      <c r="A2" s="4"/>
      <c r="B2" s="5"/>
      <c r="C2" s="5"/>
    </row>
    <row r="3" spans="1:27" ht="14.25" customHeight="1">
      <c r="A3" s="4"/>
      <c r="B3" s="5" t="s">
        <v>1</v>
      </c>
      <c r="C3" s="5"/>
    </row>
    <row r="4" spans="1:27" ht="14.5">
      <c r="A4" s="6"/>
      <c r="B4" s="7" t="s">
        <v>2</v>
      </c>
      <c r="C4" s="5"/>
    </row>
    <row r="5" spans="1:27" ht="8.25" customHeight="1">
      <c r="A5" s="4"/>
      <c r="B5" s="5"/>
      <c r="C5" s="5"/>
    </row>
    <row r="6" spans="1:27" ht="14.5">
      <c r="A6" s="4"/>
      <c r="B6" s="5" t="s">
        <v>3</v>
      </c>
      <c r="C6" s="7" t="s">
        <v>4</v>
      </c>
      <c r="D6" s="7"/>
      <c r="E6" s="7"/>
      <c r="F6" s="8" t="s">
        <v>5</v>
      </c>
      <c r="G6" s="3"/>
      <c r="H6" s="9">
        <v>92025</v>
      </c>
      <c r="I6" s="3"/>
      <c r="J6" s="8" t="s">
        <v>6</v>
      </c>
      <c r="K6" s="3"/>
      <c r="L6" s="7">
        <v>1.7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6" customHeight="1">
      <c r="A7" s="4"/>
      <c r="B7" s="5"/>
      <c r="C7" s="5"/>
    </row>
    <row r="8" spans="1:27" ht="14.25" customHeight="1">
      <c r="A8" s="4"/>
      <c r="B8" s="5" t="s">
        <v>7</v>
      </c>
      <c r="C8" s="7" t="s">
        <v>8</v>
      </c>
      <c r="F8" s="8" t="s">
        <v>9</v>
      </c>
      <c r="G8" s="3"/>
      <c r="H8" s="10" t="s">
        <v>10</v>
      </c>
      <c r="I8" s="3"/>
      <c r="J8" s="7"/>
    </row>
    <row r="9" spans="1:27" ht="14.25" customHeight="1" thickBot="1">
      <c r="A9" s="6"/>
    </row>
    <row r="10" spans="1:27" ht="14.25" customHeight="1">
      <c r="A10" s="11"/>
      <c r="B10" s="12" t="s">
        <v>11</v>
      </c>
      <c r="C10" s="13" t="s">
        <v>12</v>
      </c>
      <c r="D10" s="14"/>
      <c r="E10" s="14"/>
      <c r="F10" s="14"/>
      <c r="G10" s="15"/>
      <c r="H10" s="16" t="s">
        <v>13</v>
      </c>
      <c r="I10" s="17" t="s">
        <v>14</v>
      </c>
      <c r="J10" s="14"/>
      <c r="K10" s="14"/>
      <c r="L10" s="14"/>
      <c r="M10" s="15"/>
      <c r="N10" s="18" t="s">
        <v>13</v>
      </c>
      <c r="O10" s="19" t="s">
        <v>15</v>
      </c>
      <c r="P10" s="14"/>
      <c r="Q10" s="14"/>
      <c r="R10" s="14"/>
      <c r="S10" s="15"/>
      <c r="U10" s="7" t="s">
        <v>16</v>
      </c>
    </row>
    <row r="11" spans="1:27" ht="14.25" customHeight="1">
      <c r="A11" s="11"/>
      <c r="B11" s="20"/>
      <c r="C11" s="21" t="s">
        <v>17</v>
      </c>
      <c r="D11" s="22" t="s">
        <v>18</v>
      </c>
      <c r="E11" s="22" t="s">
        <v>19</v>
      </c>
      <c r="F11" s="22" t="s">
        <v>20</v>
      </c>
      <c r="G11" s="23" t="s">
        <v>21</v>
      </c>
      <c r="H11" s="24"/>
      <c r="I11" s="25" t="s">
        <v>17</v>
      </c>
      <c r="J11" s="25" t="s">
        <v>18</v>
      </c>
      <c r="K11" s="25" t="s">
        <v>19</v>
      </c>
      <c r="L11" s="25" t="s">
        <v>20</v>
      </c>
      <c r="M11" s="26" t="s">
        <v>21</v>
      </c>
      <c r="N11" s="24"/>
      <c r="O11" s="22" t="s">
        <v>17</v>
      </c>
      <c r="P11" s="22" t="s">
        <v>18</v>
      </c>
      <c r="Q11" s="22" t="s">
        <v>19</v>
      </c>
      <c r="R11" s="22" t="s">
        <v>20</v>
      </c>
      <c r="S11" s="23" t="s">
        <v>21</v>
      </c>
    </row>
    <row r="12" spans="1:27" ht="14.25" customHeight="1">
      <c r="A12" s="27">
        <v>1</v>
      </c>
      <c r="B12" s="28" t="s">
        <v>22</v>
      </c>
      <c r="C12" s="29"/>
      <c r="D12" s="30">
        <v>19</v>
      </c>
      <c r="E12" s="30">
        <v>18.5</v>
      </c>
      <c r="F12" s="30">
        <v>18.2</v>
      </c>
      <c r="G12" s="31">
        <v>18.8</v>
      </c>
      <c r="H12" s="32" t="s">
        <v>23</v>
      </c>
      <c r="I12" s="33"/>
      <c r="J12" s="33"/>
      <c r="K12" s="33"/>
      <c r="L12" s="33"/>
      <c r="M12" s="34">
        <v>18.7</v>
      </c>
      <c r="N12" s="21" t="s">
        <v>24</v>
      </c>
      <c r="O12" s="30"/>
      <c r="P12" s="30">
        <v>17</v>
      </c>
      <c r="Q12" s="30">
        <v>20</v>
      </c>
      <c r="R12" s="30">
        <v>20.8</v>
      </c>
      <c r="S12" s="31">
        <v>20</v>
      </c>
      <c r="U12" s="7">
        <v>15.8</v>
      </c>
    </row>
    <row r="13" spans="1:27" ht="14.25" customHeight="1">
      <c r="A13" s="27">
        <v>2</v>
      </c>
      <c r="B13" s="30"/>
      <c r="C13" s="29"/>
      <c r="D13" s="30">
        <v>19.100000000000001</v>
      </c>
      <c r="E13" s="30">
        <v>17.3</v>
      </c>
      <c r="F13" s="30">
        <v>17.7</v>
      </c>
      <c r="G13" s="31">
        <v>18</v>
      </c>
      <c r="H13" s="35"/>
      <c r="I13" s="33"/>
      <c r="J13" s="33"/>
      <c r="K13" s="33"/>
      <c r="L13" s="33"/>
      <c r="M13" s="34">
        <v>17.7</v>
      </c>
      <c r="N13" s="21"/>
      <c r="O13" s="30"/>
      <c r="P13" s="30"/>
      <c r="Q13" s="30">
        <v>16.8</v>
      </c>
      <c r="R13" s="30">
        <v>19.7</v>
      </c>
      <c r="S13" s="31">
        <v>20</v>
      </c>
      <c r="U13" s="7">
        <v>17.100000000000001</v>
      </c>
    </row>
    <row r="14" spans="1:27" ht="14.25" customHeight="1">
      <c r="A14" s="27">
        <v>3</v>
      </c>
      <c r="B14" s="36" t="s">
        <v>25</v>
      </c>
      <c r="C14" s="29"/>
      <c r="D14" s="30">
        <v>17.5</v>
      </c>
      <c r="E14" s="30">
        <v>17.2</v>
      </c>
      <c r="F14" s="30">
        <v>18.399999999999999</v>
      </c>
      <c r="G14" s="31">
        <v>17</v>
      </c>
      <c r="H14" s="32"/>
      <c r="I14" s="33"/>
      <c r="J14" s="33"/>
      <c r="K14" s="33"/>
      <c r="L14" s="33"/>
      <c r="M14" s="34">
        <v>20.399999999999999</v>
      </c>
      <c r="N14" s="21"/>
      <c r="O14" s="30"/>
      <c r="P14" s="30"/>
      <c r="Q14" s="30"/>
      <c r="R14" s="30">
        <v>12.5</v>
      </c>
      <c r="S14" s="31">
        <v>20</v>
      </c>
      <c r="U14" s="7">
        <v>11</v>
      </c>
    </row>
    <row r="15" spans="1:27" ht="14.25" customHeight="1">
      <c r="A15" s="27">
        <v>4</v>
      </c>
      <c r="B15" s="36" t="s">
        <v>26</v>
      </c>
      <c r="C15" s="29"/>
      <c r="D15" s="30">
        <v>17.5</v>
      </c>
      <c r="E15" s="30">
        <v>18.600000000000001</v>
      </c>
      <c r="F15" s="30">
        <v>17.399999999999999</v>
      </c>
      <c r="G15" s="31">
        <v>18</v>
      </c>
      <c r="H15" s="35"/>
      <c r="I15" s="33"/>
      <c r="J15" s="33"/>
      <c r="K15" s="33"/>
      <c r="L15" s="33"/>
      <c r="M15" s="34">
        <v>20.100000000000001</v>
      </c>
      <c r="N15" s="21"/>
      <c r="O15" s="30"/>
      <c r="P15" s="30"/>
      <c r="Q15" s="30"/>
      <c r="R15" s="30"/>
      <c r="S15" s="31">
        <v>20</v>
      </c>
      <c r="U15" s="7">
        <v>100.1</v>
      </c>
      <c r="V15" s="37"/>
    </row>
    <row r="16" spans="1:27" ht="14.25" customHeight="1">
      <c r="A16" s="27">
        <v>5</v>
      </c>
      <c r="B16" s="30"/>
      <c r="C16" s="29"/>
      <c r="D16" s="30">
        <v>18.2</v>
      </c>
      <c r="E16" s="30">
        <v>17.5</v>
      </c>
      <c r="F16" s="30">
        <v>17.899999999999999</v>
      </c>
      <c r="G16" s="31">
        <v>17.8</v>
      </c>
      <c r="H16" s="35"/>
      <c r="I16" s="33"/>
      <c r="J16" s="33"/>
      <c r="K16" s="33"/>
      <c r="L16" s="33"/>
      <c r="M16" s="34">
        <v>19.2</v>
      </c>
      <c r="N16" s="21"/>
      <c r="O16" s="30"/>
      <c r="P16" s="30"/>
      <c r="Q16" s="30"/>
      <c r="R16" s="30"/>
      <c r="S16" s="31">
        <v>20</v>
      </c>
    </row>
    <row r="17" spans="1:25" ht="14.25" customHeight="1">
      <c r="A17" s="27">
        <v>6</v>
      </c>
      <c r="B17" s="36"/>
      <c r="C17" s="29"/>
      <c r="D17" s="30"/>
      <c r="E17" s="30">
        <v>18.2</v>
      </c>
      <c r="F17" s="30">
        <v>17.8</v>
      </c>
      <c r="G17" s="31">
        <v>19.100000000000001</v>
      </c>
      <c r="H17" s="35"/>
      <c r="I17" s="33"/>
      <c r="J17" s="33"/>
      <c r="K17" s="33"/>
      <c r="L17" s="33"/>
      <c r="M17" s="34">
        <v>19.600000000000001</v>
      </c>
      <c r="N17" s="21"/>
      <c r="O17" s="30"/>
      <c r="P17" s="30"/>
      <c r="Q17" s="30"/>
      <c r="R17" s="30"/>
      <c r="S17" s="31">
        <v>20</v>
      </c>
    </row>
    <row r="18" spans="1:25" ht="14.25" customHeight="1">
      <c r="A18" s="27">
        <v>7</v>
      </c>
      <c r="B18" s="36"/>
      <c r="C18" s="29"/>
      <c r="D18" s="30"/>
      <c r="E18" s="30">
        <v>15.4</v>
      </c>
      <c r="F18" s="30">
        <v>18</v>
      </c>
      <c r="G18" s="31">
        <v>17.8</v>
      </c>
      <c r="H18" s="35"/>
      <c r="I18" s="33"/>
      <c r="J18" s="33"/>
      <c r="K18" s="33"/>
      <c r="L18" s="33"/>
      <c r="M18" s="34">
        <v>19.3</v>
      </c>
      <c r="N18" s="21"/>
      <c r="O18" s="30"/>
      <c r="P18" s="30"/>
      <c r="Q18" s="30"/>
      <c r="R18" s="30"/>
      <c r="S18" s="31">
        <v>14</v>
      </c>
      <c r="U18" s="7">
        <f>SUM(U12:U17)</f>
        <v>144</v>
      </c>
    </row>
    <row r="19" spans="1:25" ht="14.25" customHeight="1">
      <c r="A19" s="27">
        <v>8</v>
      </c>
      <c r="B19" s="30"/>
      <c r="C19" s="29"/>
      <c r="D19" s="30"/>
      <c r="E19" s="30">
        <v>17.5</v>
      </c>
      <c r="F19" s="30">
        <v>17.7</v>
      </c>
      <c r="G19" s="31">
        <v>16.5</v>
      </c>
      <c r="H19" s="35"/>
      <c r="I19" s="33"/>
      <c r="J19" s="33"/>
      <c r="K19" s="33"/>
      <c r="L19" s="33"/>
      <c r="M19" s="34">
        <v>20.5</v>
      </c>
      <c r="N19" s="21"/>
      <c r="O19" s="30"/>
      <c r="P19" s="30"/>
      <c r="Q19" s="30"/>
      <c r="R19" s="30"/>
      <c r="S19" s="31">
        <v>20</v>
      </c>
      <c r="U19" s="7">
        <f>U18-(8*1.7)</f>
        <v>130.4</v>
      </c>
      <c r="V19" s="7" t="s">
        <v>27</v>
      </c>
    </row>
    <row r="20" spans="1:25" ht="14.25" customHeight="1">
      <c r="A20" s="27">
        <v>9</v>
      </c>
      <c r="B20" s="30"/>
      <c r="C20" s="29"/>
      <c r="D20" s="30"/>
      <c r="E20" s="30">
        <v>17.8</v>
      </c>
      <c r="F20" s="30">
        <v>16.600000000000001</v>
      </c>
      <c r="G20" s="31">
        <v>18</v>
      </c>
      <c r="H20" s="32"/>
      <c r="I20" s="33"/>
      <c r="J20" s="33"/>
      <c r="K20" s="33"/>
      <c r="L20" s="33"/>
      <c r="M20" s="34">
        <v>18.899999999999999</v>
      </c>
      <c r="N20" s="21"/>
      <c r="O20" s="30"/>
      <c r="P20" s="30"/>
      <c r="Q20" s="30"/>
      <c r="R20" s="30"/>
      <c r="S20" s="31">
        <v>20</v>
      </c>
      <c r="U20" s="38">
        <f>U19/I152</f>
        <v>8.1327179743045999E-2</v>
      </c>
      <c r="V20" s="39" t="s">
        <v>28</v>
      </c>
    </row>
    <row r="21" spans="1:25" ht="14.25" customHeight="1">
      <c r="A21" s="27">
        <v>10</v>
      </c>
      <c r="B21" s="30"/>
      <c r="C21" s="29"/>
      <c r="D21" s="30"/>
      <c r="E21" s="30">
        <v>18.7</v>
      </c>
      <c r="F21" s="30">
        <v>19.5</v>
      </c>
      <c r="G21" s="31">
        <v>17.5</v>
      </c>
      <c r="H21" s="35"/>
      <c r="I21" s="33"/>
      <c r="J21" s="33"/>
      <c r="K21" s="33"/>
      <c r="L21" s="33"/>
      <c r="M21" s="34">
        <v>18.2</v>
      </c>
      <c r="N21" s="21"/>
      <c r="O21" s="30"/>
      <c r="P21" s="30"/>
      <c r="Q21" s="30"/>
      <c r="R21" s="30"/>
      <c r="S21" s="31"/>
    </row>
    <row r="22" spans="1:25" ht="14.25" customHeight="1">
      <c r="A22" s="27">
        <v>11</v>
      </c>
      <c r="B22" s="30"/>
      <c r="C22" s="29"/>
      <c r="D22" s="30"/>
      <c r="E22" s="30">
        <v>17.899999999999999</v>
      </c>
      <c r="F22" s="30">
        <v>17.899999999999999</v>
      </c>
      <c r="G22" s="31">
        <v>17.600000000000001</v>
      </c>
      <c r="H22" s="32"/>
      <c r="I22" s="33"/>
      <c r="J22" s="33"/>
      <c r="K22" s="33"/>
      <c r="L22" s="33"/>
      <c r="M22" s="34">
        <v>18.600000000000001</v>
      </c>
      <c r="N22" s="21" t="s">
        <v>29</v>
      </c>
      <c r="O22" s="30"/>
      <c r="P22" s="30">
        <v>17.5</v>
      </c>
      <c r="Q22" s="30">
        <v>20</v>
      </c>
      <c r="R22" s="30">
        <v>14.9</v>
      </c>
      <c r="S22" s="31">
        <v>20</v>
      </c>
      <c r="U22" s="64"/>
      <c r="V22" s="65"/>
      <c r="W22" s="65"/>
      <c r="X22" s="65"/>
      <c r="Y22" s="65"/>
    </row>
    <row r="23" spans="1:25" ht="14.25" customHeight="1">
      <c r="A23" s="27">
        <v>12</v>
      </c>
      <c r="B23" s="30"/>
      <c r="C23" s="29"/>
      <c r="D23" s="30"/>
      <c r="E23" s="30">
        <v>20.100000000000001</v>
      </c>
      <c r="F23" s="30">
        <v>18.2</v>
      </c>
      <c r="G23" s="31">
        <v>18.7</v>
      </c>
      <c r="H23" s="32"/>
      <c r="I23" s="33"/>
      <c r="J23" s="33"/>
      <c r="K23" s="33"/>
      <c r="L23" s="33"/>
      <c r="M23" s="34">
        <v>18.3</v>
      </c>
      <c r="N23" s="21"/>
      <c r="O23" s="30"/>
      <c r="P23" s="30"/>
      <c r="Q23" s="30">
        <v>14.9</v>
      </c>
      <c r="R23" s="30">
        <v>20</v>
      </c>
      <c r="S23" s="31">
        <v>20</v>
      </c>
      <c r="U23" s="66"/>
      <c r="V23" s="65"/>
      <c r="W23" s="65"/>
      <c r="X23" s="65"/>
      <c r="Y23" s="65"/>
    </row>
    <row r="24" spans="1:25" ht="14.25" customHeight="1">
      <c r="A24" s="27">
        <v>13</v>
      </c>
      <c r="B24" s="30"/>
      <c r="C24" s="29"/>
      <c r="D24" s="40"/>
      <c r="E24" s="30">
        <v>17.899999999999999</v>
      </c>
      <c r="F24" s="30">
        <v>17.2</v>
      </c>
      <c r="G24" s="31">
        <v>19</v>
      </c>
      <c r="H24" s="32"/>
      <c r="I24" s="33"/>
      <c r="J24" s="33"/>
      <c r="K24" s="33"/>
      <c r="L24" s="33"/>
      <c r="M24" s="34">
        <v>18.8</v>
      </c>
      <c r="N24" s="21"/>
      <c r="O24" s="30"/>
      <c r="P24" s="30"/>
      <c r="Q24" s="30"/>
      <c r="R24" s="30">
        <v>13.5</v>
      </c>
      <c r="S24" s="31">
        <v>20</v>
      </c>
      <c r="U24" s="41"/>
    </row>
    <row r="25" spans="1:25" ht="14.25" customHeight="1">
      <c r="A25" s="27">
        <v>14</v>
      </c>
      <c r="B25" s="30"/>
      <c r="C25" s="29"/>
      <c r="D25" s="30"/>
      <c r="E25" s="30">
        <v>17.5</v>
      </c>
      <c r="F25" s="30">
        <v>18.3</v>
      </c>
      <c r="G25" s="31">
        <v>18.899999999999999</v>
      </c>
      <c r="H25" s="32"/>
      <c r="I25" s="33"/>
      <c r="J25" s="33"/>
      <c r="K25" s="33"/>
      <c r="L25" s="33"/>
      <c r="M25" s="34">
        <v>19</v>
      </c>
      <c r="N25" s="21"/>
      <c r="O25" s="30"/>
      <c r="P25" s="30"/>
      <c r="Q25" s="30"/>
      <c r="R25" s="30"/>
      <c r="S25" s="31">
        <v>20</v>
      </c>
    </row>
    <row r="26" spans="1:25" ht="14.25" customHeight="1">
      <c r="A26" s="27">
        <v>15</v>
      </c>
      <c r="B26" s="30"/>
      <c r="C26" s="29"/>
      <c r="D26" s="30"/>
      <c r="E26" s="30"/>
      <c r="F26" s="30">
        <v>17.8</v>
      </c>
      <c r="G26" s="31">
        <v>16.5</v>
      </c>
      <c r="H26" s="35"/>
      <c r="I26" s="33"/>
      <c r="J26" s="33"/>
      <c r="K26" s="33"/>
      <c r="L26" s="33"/>
      <c r="M26" s="34">
        <v>19.2</v>
      </c>
      <c r="N26" s="21"/>
      <c r="O26" s="30"/>
      <c r="P26" s="30"/>
      <c r="Q26" s="30"/>
      <c r="R26" s="30"/>
      <c r="S26" s="31">
        <v>20</v>
      </c>
    </row>
    <row r="27" spans="1:25" ht="14.25" customHeight="1">
      <c r="A27" s="27">
        <v>16</v>
      </c>
      <c r="B27" s="30"/>
      <c r="C27" s="29"/>
      <c r="D27" s="30"/>
      <c r="E27" s="30"/>
      <c r="F27" s="30">
        <v>19.3</v>
      </c>
      <c r="G27" s="31">
        <v>17.2</v>
      </c>
      <c r="H27" s="32"/>
      <c r="I27" s="33"/>
      <c r="J27" s="33"/>
      <c r="K27" s="33"/>
      <c r="L27" s="33"/>
      <c r="M27" s="34">
        <v>19</v>
      </c>
      <c r="N27" s="21"/>
      <c r="O27" s="30"/>
      <c r="P27" s="30"/>
      <c r="Q27" s="30"/>
      <c r="R27" s="30"/>
      <c r="S27" s="31">
        <v>8</v>
      </c>
    </row>
    <row r="28" spans="1:25" ht="14.25" customHeight="1">
      <c r="A28" s="27">
        <v>17</v>
      </c>
      <c r="B28" s="30"/>
      <c r="C28" s="29"/>
      <c r="D28" s="30"/>
      <c r="E28" s="30"/>
      <c r="F28" s="30">
        <v>18.399999999999999</v>
      </c>
      <c r="G28" s="31">
        <v>17.2</v>
      </c>
      <c r="H28" s="35"/>
      <c r="I28" s="33"/>
      <c r="J28" s="33"/>
      <c r="K28" s="33"/>
      <c r="L28" s="33"/>
      <c r="M28" s="34">
        <v>20.100000000000001</v>
      </c>
      <c r="N28" s="21"/>
      <c r="O28" s="30"/>
      <c r="P28" s="30"/>
      <c r="Q28" s="30"/>
      <c r="R28" s="30"/>
      <c r="S28" s="31">
        <v>20</v>
      </c>
      <c r="U28" s="41"/>
      <c r="V28" s="41"/>
    </row>
    <row r="29" spans="1:25" ht="14.25" customHeight="1">
      <c r="A29" s="27">
        <v>18</v>
      </c>
      <c r="B29" s="30"/>
      <c r="C29" s="29"/>
      <c r="D29" s="30"/>
      <c r="E29" s="30"/>
      <c r="F29" s="30">
        <v>18.600000000000001</v>
      </c>
      <c r="G29" s="31">
        <v>17.5</v>
      </c>
      <c r="H29" s="35"/>
      <c r="I29" s="33"/>
      <c r="J29" s="33"/>
      <c r="K29" s="33"/>
      <c r="L29" s="33"/>
      <c r="M29" s="34">
        <v>19.2</v>
      </c>
      <c r="N29" s="21"/>
      <c r="O29" s="30"/>
      <c r="P29" s="30"/>
      <c r="Q29" s="30"/>
      <c r="R29" s="30"/>
      <c r="S29" s="31">
        <v>20</v>
      </c>
      <c r="U29" s="41"/>
      <c r="V29" s="41"/>
    </row>
    <row r="30" spans="1:25" ht="14.25" customHeight="1">
      <c r="A30" s="27">
        <v>19</v>
      </c>
      <c r="B30" s="30"/>
      <c r="C30" s="29"/>
      <c r="D30" s="30"/>
      <c r="E30" s="30"/>
      <c r="F30" s="30">
        <v>18.399999999999999</v>
      </c>
      <c r="G30" s="31">
        <v>18.8</v>
      </c>
      <c r="H30" s="35"/>
      <c r="I30" s="33"/>
      <c r="J30" s="33"/>
      <c r="K30" s="33"/>
      <c r="L30" s="33"/>
      <c r="M30" s="34">
        <v>18.8</v>
      </c>
      <c r="N30" s="21"/>
      <c r="O30" s="30"/>
      <c r="P30" s="30"/>
      <c r="Q30" s="30"/>
      <c r="R30" s="30"/>
      <c r="S30" s="31"/>
      <c r="U30" s="41"/>
      <c r="V30" s="41"/>
    </row>
    <row r="31" spans="1:25" ht="14.25" customHeight="1">
      <c r="A31" s="27">
        <v>20</v>
      </c>
      <c r="B31" s="30"/>
      <c r="C31" s="29"/>
      <c r="D31" s="30"/>
      <c r="E31" s="30"/>
      <c r="F31" s="30"/>
      <c r="G31" s="31">
        <v>17.5</v>
      </c>
      <c r="H31" s="32"/>
      <c r="I31" s="33"/>
      <c r="J31" s="33"/>
      <c r="K31" s="33"/>
      <c r="L31" s="33"/>
      <c r="M31" s="34">
        <v>19.5</v>
      </c>
      <c r="N31" s="21" t="s">
        <v>30</v>
      </c>
      <c r="O31" s="30"/>
      <c r="P31" s="30">
        <v>7.5</v>
      </c>
      <c r="Q31" s="30">
        <v>22.9</v>
      </c>
      <c r="R31" s="30">
        <v>19.399999999999999</v>
      </c>
      <c r="S31" s="31">
        <v>20</v>
      </c>
      <c r="U31" s="41"/>
      <c r="V31" s="41"/>
    </row>
    <row r="32" spans="1:25" ht="14.25" customHeight="1">
      <c r="A32" s="27">
        <v>21</v>
      </c>
      <c r="B32" s="30"/>
      <c r="C32" s="29"/>
      <c r="D32" s="30"/>
      <c r="E32" s="30"/>
      <c r="F32" s="30"/>
      <c r="G32" s="31">
        <v>18.399999999999999</v>
      </c>
      <c r="H32" s="35"/>
      <c r="I32" s="33"/>
      <c r="J32" s="33"/>
      <c r="K32" s="33"/>
      <c r="L32" s="33"/>
      <c r="M32" s="34">
        <v>19.600000000000001</v>
      </c>
      <c r="N32" s="21"/>
      <c r="O32" s="30"/>
      <c r="P32" s="30"/>
      <c r="Q32" s="30"/>
      <c r="R32" s="30">
        <v>23</v>
      </c>
      <c r="S32" s="31">
        <v>20</v>
      </c>
    </row>
    <row r="33" spans="1:19" ht="14.25" customHeight="1">
      <c r="A33" s="27">
        <v>22</v>
      </c>
      <c r="B33" s="30"/>
      <c r="C33" s="29"/>
      <c r="D33" s="30"/>
      <c r="E33" s="30"/>
      <c r="F33" s="30"/>
      <c r="G33" s="31">
        <v>18.3</v>
      </c>
      <c r="H33" s="32"/>
      <c r="I33" s="33"/>
      <c r="J33" s="33"/>
      <c r="K33" s="33"/>
      <c r="L33" s="33"/>
      <c r="M33" s="34">
        <v>19.3</v>
      </c>
      <c r="N33" s="21"/>
      <c r="O33" s="30"/>
      <c r="P33" s="30"/>
      <c r="Q33" s="30"/>
      <c r="R33" s="30"/>
      <c r="S33" s="31">
        <v>20</v>
      </c>
    </row>
    <row r="34" spans="1:19" ht="14.25" customHeight="1">
      <c r="A34" s="27">
        <v>23</v>
      </c>
      <c r="B34" s="30"/>
      <c r="C34" s="29"/>
      <c r="D34" s="30"/>
      <c r="E34" s="30"/>
      <c r="F34" s="30"/>
      <c r="G34" s="31">
        <v>17.7</v>
      </c>
      <c r="H34" s="35"/>
      <c r="I34" s="33"/>
      <c r="J34" s="33"/>
      <c r="K34" s="33"/>
      <c r="L34" s="33"/>
      <c r="M34" s="34">
        <v>19.899999999999999</v>
      </c>
      <c r="N34" s="21"/>
      <c r="O34" s="30"/>
      <c r="P34" s="30"/>
      <c r="Q34" s="30"/>
      <c r="R34" s="30"/>
      <c r="S34" s="31">
        <v>20</v>
      </c>
    </row>
    <row r="35" spans="1:19" ht="14.25" customHeight="1">
      <c r="A35" s="27">
        <v>24</v>
      </c>
      <c r="B35" s="30"/>
      <c r="C35" s="29"/>
      <c r="D35" s="30"/>
      <c r="E35" s="30"/>
      <c r="F35" s="30"/>
      <c r="G35" s="31">
        <v>17.5</v>
      </c>
      <c r="H35" s="35"/>
      <c r="I35" s="33"/>
      <c r="J35" s="33"/>
      <c r="K35" s="33"/>
      <c r="L35" s="33"/>
      <c r="M35" s="34">
        <v>19.3</v>
      </c>
      <c r="N35" s="21"/>
      <c r="O35" s="30"/>
      <c r="P35" s="30"/>
      <c r="Q35" s="30"/>
      <c r="R35" s="30"/>
      <c r="S35" s="31">
        <v>13.5</v>
      </c>
    </row>
    <row r="36" spans="1:19" ht="14.25" customHeight="1">
      <c r="A36" s="27">
        <v>25</v>
      </c>
      <c r="B36" s="30"/>
      <c r="C36" s="29"/>
      <c r="D36" s="30"/>
      <c r="E36" s="30"/>
      <c r="F36" s="30"/>
      <c r="G36" s="31">
        <v>17.899999999999999</v>
      </c>
      <c r="H36" s="35"/>
      <c r="I36" s="33"/>
      <c r="J36" s="33"/>
      <c r="K36" s="33"/>
      <c r="L36" s="33"/>
      <c r="M36" s="34">
        <v>19.2</v>
      </c>
      <c r="N36" s="21"/>
      <c r="O36" s="30"/>
      <c r="P36" s="30"/>
      <c r="Q36" s="30"/>
      <c r="R36" s="30"/>
      <c r="S36" s="31"/>
    </row>
    <row r="37" spans="1:19" ht="14.25" customHeight="1">
      <c r="A37" s="27">
        <v>26</v>
      </c>
      <c r="B37" s="30"/>
      <c r="C37" s="29"/>
      <c r="D37" s="30"/>
      <c r="E37" s="30"/>
      <c r="F37" s="30"/>
      <c r="G37" s="31">
        <v>19.399999999999999</v>
      </c>
      <c r="H37" s="35"/>
      <c r="I37" s="33"/>
      <c r="J37" s="33"/>
      <c r="K37" s="33"/>
      <c r="L37" s="33"/>
      <c r="M37" s="34">
        <v>19.600000000000001</v>
      </c>
      <c r="N37" s="21"/>
      <c r="O37" s="30"/>
      <c r="P37" s="30"/>
      <c r="Q37" s="30"/>
      <c r="R37" s="30"/>
      <c r="S37" s="31"/>
    </row>
    <row r="38" spans="1:19" ht="14.25" customHeight="1">
      <c r="A38" s="27">
        <v>27</v>
      </c>
      <c r="B38" s="30"/>
      <c r="C38" s="29"/>
      <c r="D38" s="30"/>
      <c r="E38" s="30"/>
      <c r="F38" s="30"/>
      <c r="G38" s="31">
        <v>18.100000000000001</v>
      </c>
      <c r="H38" s="35"/>
      <c r="I38" s="33"/>
      <c r="J38" s="33"/>
      <c r="K38" s="33"/>
      <c r="L38" s="33"/>
      <c r="M38" s="34">
        <v>20</v>
      </c>
      <c r="N38" s="21"/>
      <c r="O38" s="30"/>
      <c r="P38" s="30"/>
      <c r="Q38" s="30"/>
      <c r="R38" s="30"/>
      <c r="S38" s="31"/>
    </row>
    <row r="39" spans="1:19" ht="14.25" customHeight="1">
      <c r="A39" s="27">
        <v>28</v>
      </c>
      <c r="B39" s="30"/>
      <c r="C39" s="29"/>
      <c r="D39" s="30"/>
      <c r="E39" s="30"/>
      <c r="F39" s="30"/>
      <c r="G39" s="31">
        <v>18</v>
      </c>
      <c r="H39" s="35"/>
      <c r="I39" s="33"/>
      <c r="J39" s="33"/>
      <c r="K39" s="33"/>
      <c r="L39" s="33"/>
      <c r="M39" s="34">
        <v>20.100000000000001</v>
      </c>
      <c r="N39" s="21"/>
      <c r="O39" s="30"/>
      <c r="P39" s="30"/>
      <c r="Q39" s="30"/>
      <c r="R39" s="30"/>
      <c r="S39" s="31"/>
    </row>
    <row r="40" spans="1:19" ht="14.25" customHeight="1">
      <c r="A40" s="27">
        <v>29</v>
      </c>
      <c r="B40" s="30"/>
      <c r="C40" s="29"/>
      <c r="D40" s="30"/>
      <c r="E40" s="30"/>
      <c r="F40" s="30"/>
      <c r="G40" s="31">
        <v>16.5</v>
      </c>
      <c r="H40" s="35"/>
      <c r="I40" s="33"/>
      <c r="J40" s="33"/>
      <c r="K40" s="33"/>
      <c r="L40" s="33"/>
      <c r="M40" s="34">
        <v>20.7</v>
      </c>
      <c r="N40" s="21"/>
      <c r="O40" s="30"/>
      <c r="P40" s="30"/>
      <c r="Q40" s="30"/>
      <c r="R40" s="30"/>
      <c r="S40" s="31"/>
    </row>
    <row r="41" spans="1:19" ht="14.25" customHeight="1">
      <c r="A41" s="27">
        <v>30</v>
      </c>
      <c r="B41" s="30"/>
      <c r="C41" s="29"/>
      <c r="D41" s="30"/>
      <c r="E41" s="30"/>
      <c r="F41" s="30"/>
      <c r="G41" s="31">
        <v>16.899999999999999</v>
      </c>
      <c r="H41" s="35"/>
      <c r="I41" s="33"/>
      <c r="J41" s="33"/>
      <c r="K41" s="33"/>
      <c r="L41" s="33"/>
      <c r="M41" s="34">
        <v>20.6</v>
      </c>
      <c r="N41" s="21"/>
      <c r="O41" s="30"/>
      <c r="P41" s="30"/>
      <c r="Q41" s="30"/>
      <c r="R41" s="30"/>
      <c r="S41" s="31"/>
    </row>
    <row r="42" spans="1:19" ht="14.25" customHeight="1">
      <c r="A42" s="27">
        <v>31</v>
      </c>
      <c r="B42" s="30"/>
      <c r="C42" s="29"/>
      <c r="D42" s="30"/>
      <c r="E42" s="30"/>
      <c r="F42" s="30"/>
      <c r="G42" s="31">
        <v>17.399999999999999</v>
      </c>
      <c r="H42" s="35"/>
      <c r="I42" s="33"/>
      <c r="J42" s="33"/>
      <c r="K42" s="33"/>
      <c r="L42" s="33"/>
      <c r="M42" s="34">
        <v>19.399999999999999</v>
      </c>
      <c r="N42" s="21"/>
      <c r="O42" s="30"/>
      <c r="P42" s="30"/>
      <c r="Q42" s="30"/>
      <c r="R42" s="30"/>
      <c r="S42" s="31"/>
    </row>
    <row r="43" spans="1:19" ht="14.25" customHeight="1">
      <c r="A43" s="27">
        <v>32</v>
      </c>
      <c r="B43" s="30"/>
      <c r="C43" s="29"/>
      <c r="D43" s="30"/>
      <c r="E43" s="30"/>
      <c r="F43" s="30"/>
      <c r="G43" s="31">
        <v>17.3</v>
      </c>
      <c r="H43" s="35"/>
      <c r="I43" s="33"/>
      <c r="J43" s="33"/>
      <c r="K43" s="33"/>
      <c r="L43" s="33"/>
      <c r="M43" s="34">
        <v>20.100000000000001</v>
      </c>
      <c r="N43" s="21"/>
      <c r="O43" s="30"/>
      <c r="P43" s="30"/>
      <c r="Q43" s="30"/>
      <c r="R43" s="30"/>
      <c r="S43" s="31"/>
    </row>
    <row r="44" spans="1:19" ht="14.25" customHeight="1">
      <c r="A44" s="27">
        <v>33</v>
      </c>
      <c r="B44" s="30"/>
      <c r="C44" s="29"/>
      <c r="D44" s="30"/>
      <c r="E44" s="30"/>
      <c r="F44" s="30"/>
      <c r="G44" s="31">
        <v>18.7</v>
      </c>
      <c r="H44" s="35"/>
      <c r="I44" s="33"/>
      <c r="J44" s="33"/>
      <c r="K44" s="33"/>
      <c r="L44" s="33"/>
      <c r="M44" s="34">
        <v>18.8</v>
      </c>
      <c r="N44" s="21"/>
      <c r="O44" s="30"/>
      <c r="P44" s="30"/>
      <c r="Q44" s="30"/>
      <c r="R44" s="30"/>
      <c r="S44" s="31"/>
    </row>
    <row r="45" spans="1:19" ht="14.25" customHeight="1">
      <c r="A45" s="27">
        <v>34</v>
      </c>
      <c r="B45" s="30"/>
      <c r="C45" s="29"/>
      <c r="D45" s="30"/>
      <c r="E45" s="30"/>
      <c r="F45" s="30"/>
      <c r="G45" s="31">
        <v>19.7</v>
      </c>
      <c r="H45" s="35"/>
      <c r="I45" s="33"/>
      <c r="J45" s="33"/>
      <c r="K45" s="33"/>
      <c r="L45" s="33"/>
      <c r="M45" s="34">
        <v>20.399999999999999</v>
      </c>
      <c r="N45" s="21"/>
      <c r="O45" s="30"/>
      <c r="P45" s="30"/>
      <c r="Q45" s="30"/>
      <c r="R45" s="30"/>
      <c r="S45" s="31"/>
    </row>
    <row r="46" spans="1:19" ht="14.25" customHeight="1">
      <c r="A46" s="27">
        <v>35</v>
      </c>
      <c r="B46" s="30"/>
      <c r="C46" s="29"/>
      <c r="D46" s="30"/>
      <c r="E46" s="30"/>
      <c r="F46" s="30"/>
      <c r="G46" s="31">
        <v>20.100000000000001</v>
      </c>
      <c r="H46" s="35"/>
      <c r="I46" s="33"/>
      <c r="J46" s="33"/>
      <c r="K46" s="33"/>
      <c r="L46" s="33"/>
      <c r="M46" s="34">
        <v>19.8</v>
      </c>
      <c r="N46" s="21"/>
      <c r="O46" s="30"/>
      <c r="P46" s="30"/>
      <c r="Q46" s="30"/>
      <c r="R46" s="30"/>
      <c r="S46" s="31"/>
    </row>
    <row r="47" spans="1:19" ht="14.25" customHeight="1">
      <c r="A47" s="27">
        <v>36</v>
      </c>
      <c r="B47" s="30"/>
      <c r="C47" s="29"/>
      <c r="D47" s="30"/>
      <c r="E47" s="30"/>
      <c r="F47" s="30"/>
      <c r="G47" s="31">
        <v>16.899999999999999</v>
      </c>
      <c r="H47" s="35"/>
      <c r="I47" s="33"/>
      <c r="J47" s="33"/>
      <c r="K47" s="33"/>
      <c r="L47" s="33"/>
      <c r="M47" s="34">
        <v>19.2</v>
      </c>
      <c r="N47" s="21"/>
      <c r="O47" s="30"/>
      <c r="P47" s="30"/>
      <c r="Q47" s="30"/>
      <c r="R47" s="30"/>
      <c r="S47" s="31"/>
    </row>
    <row r="48" spans="1:19" ht="14.25" customHeight="1">
      <c r="A48" s="27">
        <v>37</v>
      </c>
      <c r="B48" s="30"/>
      <c r="C48" s="29"/>
      <c r="D48" s="30"/>
      <c r="E48" s="30"/>
      <c r="F48" s="30"/>
      <c r="G48" s="31">
        <v>13.3</v>
      </c>
      <c r="H48" s="35"/>
      <c r="I48" s="33"/>
      <c r="J48" s="33"/>
      <c r="K48" s="33"/>
      <c r="L48" s="33"/>
      <c r="M48" s="34">
        <v>20.7</v>
      </c>
      <c r="N48" s="21"/>
      <c r="O48" s="30"/>
      <c r="P48" s="30"/>
      <c r="Q48" s="30"/>
      <c r="R48" s="30"/>
      <c r="S48" s="31"/>
    </row>
    <row r="49" spans="1:19" ht="14.25" customHeight="1">
      <c r="A49" s="27">
        <v>38</v>
      </c>
      <c r="B49" s="30"/>
      <c r="C49" s="29"/>
      <c r="D49" s="30"/>
      <c r="E49" s="30"/>
      <c r="F49" s="30"/>
      <c r="G49" s="31">
        <v>15</v>
      </c>
      <c r="H49" s="32"/>
      <c r="I49" s="33"/>
      <c r="J49" s="33"/>
      <c r="K49" s="33"/>
      <c r="L49" s="33"/>
      <c r="M49" s="34">
        <v>19.5</v>
      </c>
      <c r="N49" s="21"/>
      <c r="O49" s="30"/>
      <c r="P49" s="30"/>
      <c r="Q49" s="30"/>
      <c r="R49" s="30"/>
      <c r="S49" s="31"/>
    </row>
    <row r="50" spans="1:19" ht="14.25" customHeight="1">
      <c r="A50" s="27">
        <v>39</v>
      </c>
      <c r="B50" s="30"/>
      <c r="C50" s="29"/>
      <c r="D50" s="30"/>
      <c r="E50" s="30"/>
      <c r="F50" s="30"/>
      <c r="G50" s="31">
        <v>17.100000000000001</v>
      </c>
      <c r="H50" s="32"/>
      <c r="I50" s="33"/>
      <c r="J50" s="33"/>
      <c r="K50" s="33"/>
      <c r="L50" s="33"/>
      <c r="M50" s="34">
        <v>19.2</v>
      </c>
      <c r="N50" s="21"/>
      <c r="O50" s="30"/>
      <c r="P50" s="30"/>
      <c r="Q50" s="30"/>
      <c r="R50" s="30"/>
      <c r="S50" s="31"/>
    </row>
    <row r="51" spans="1:19" ht="14.25" customHeight="1">
      <c r="A51" s="27">
        <v>40</v>
      </c>
      <c r="B51" s="30"/>
      <c r="C51" s="29"/>
      <c r="D51" s="30"/>
      <c r="E51" s="30"/>
      <c r="F51" s="30"/>
      <c r="G51" s="31">
        <v>19.2</v>
      </c>
      <c r="H51" s="35"/>
      <c r="I51" s="33"/>
      <c r="J51" s="33"/>
      <c r="K51" s="33"/>
      <c r="L51" s="33"/>
      <c r="M51" s="34">
        <v>19.3</v>
      </c>
      <c r="N51" s="21"/>
      <c r="O51" s="30"/>
      <c r="P51" s="30"/>
      <c r="Q51" s="30"/>
      <c r="R51" s="30"/>
      <c r="S51" s="31"/>
    </row>
    <row r="52" spans="1:19" ht="14.25" customHeight="1">
      <c r="A52" s="27">
        <v>41</v>
      </c>
      <c r="B52" s="30"/>
      <c r="C52" s="29"/>
      <c r="D52" s="30"/>
      <c r="E52" s="30"/>
      <c r="F52" s="30"/>
      <c r="G52" s="31">
        <v>18.3</v>
      </c>
      <c r="H52" s="32"/>
      <c r="I52" s="33"/>
      <c r="J52" s="33"/>
      <c r="K52" s="33"/>
      <c r="L52" s="33"/>
      <c r="M52" s="34">
        <v>19.399999999999999</v>
      </c>
      <c r="N52" s="21"/>
      <c r="O52" s="30"/>
      <c r="P52" s="30"/>
      <c r="Q52" s="30"/>
      <c r="R52" s="30"/>
      <c r="S52" s="31"/>
    </row>
    <row r="53" spans="1:19" ht="14.25" customHeight="1">
      <c r="A53" s="27">
        <v>42</v>
      </c>
      <c r="B53" s="30"/>
      <c r="C53" s="29"/>
      <c r="D53" s="30"/>
      <c r="E53" s="30"/>
      <c r="F53" s="30"/>
      <c r="G53" s="31">
        <v>19.600000000000001</v>
      </c>
      <c r="H53" s="35"/>
      <c r="I53" s="33"/>
      <c r="J53" s="33"/>
      <c r="K53" s="33"/>
      <c r="L53" s="33"/>
      <c r="M53" s="34"/>
      <c r="N53" s="21"/>
      <c r="O53" s="30"/>
      <c r="P53" s="30"/>
      <c r="Q53" s="30"/>
      <c r="R53" s="30"/>
      <c r="S53" s="31"/>
    </row>
    <row r="54" spans="1:19" ht="14.25" customHeight="1">
      <c r="A54" s="27">
        <v>43</v>
      </c>
      <c r="B54" s="30"/>
      <c r="C54" s="29"/>
      <c r="D54" s="30"/>
      <c r="E54" s="30"/>
      <c r="F54" s="30"/>
      <c r="G54" s="31">
        <v>19.399999999999999</v>
      </c>
      <c r="H54" s="32" t="s">
        <v>31</v>
      </c>
      <c r="I54" s="33"/>
      <c r="J54" s="33">
        <v>17.2</v>
      </c>
      <c r="K54" s="33">
        <v>18.399999999999999</v>
      </c>
      <c r="L54" s="33">
        <v>17.899999999999999</v>
      </c>
      <c r="M54" s="34">
        <v>17.8</v>
      </c>
      <c r="N54" s="21"/>
      <c r="O54" s="30"/>
      <c r="P54" s="30"/>
      <c r="Q54" s="30"/>
      <c r="R54" s="30"/>
      <c r="S54" s="31"/>
    </row>
    <row r="55" spans="1:19" ht="14.25" customHeight="1">
      <c r="A55" s="27">
        <v>44</v>
      </c>
      <c r="B55" s="30"/>
      <c r="C55" s="29"/>
      <c r="D55" s="30"/>
      <c r="E55" s="30"/>
      <c r="F55" s="30"/>
      <c r="G55" s="31">
        <v>17.8</v>
      </c>
      <c r="H55" s="32"/>
      <c r="I55" s="33"/>
      <c r="J55" s="33">
        <v>17.3</v>
      </c>
      <c r="K55" s="33">
        <v>18.399999999999999</v>
      </c>
      <c r="L55" s="33">
        <v>17.7</v>
      </c>
      <c r="M55" s="34">
        <v>17.3</v>
      </c>
      <c r="N55" s="21"/>
      <c r="O55" s="30"/>
      <c r="P55" s="30"/>
      <c r="Q55" s="30"/>
      <c r="R55" s="30"/>
      <c r="S55" s="31"/>
    </row>
    <row r="56" spans="1:19" ht="14.25" customHeight="1">
      <c r="A56" s="27">
        <v>45</v>
      </c>
      <c r="B56" s="30"/>
      <c r="C56" s="29"/>
      <c r="D56" s="30"/>
      <c r="E56" s="30"/>
      <c r="F56" s="30"/>
      <c r="G56" s="31">
        <v>19.399999999999999</v>
      </c>
      <c r="H56" s="35"/>
      <c r="I56" s="33"/>
      <c r="J56" s="33">
        <v>17</v>
      </c>
      <c r="K56" s="33">
        <v>18.399999999999999</v>
      </c>
      <c r="L56" s="33">
        <v>17.399999999999999</v>
      </c>
      <c r="M56" s="34">
        <v>17.8</v>
      </c>
      <c r="N56" s="21"/>
      <c r="O56" s="30"/>
      <c r="P56" s="30"/>
      <c r="Q56" s="30"/>
      <c r="R56" s="30"/>
      <c r="S56" s="31"/>
    </row>
    <row r="57" spans="1:19" ht="14.25" customHeight="1">
      <c r="A57" s="27">
        <v>46</v>
      </c>
      <c r="B57" s="30"/>
      <c r="C57" s="29"/>
      <c r="D57" s="30"/>
      <c r="E57" s="30"/>
      <c r="F57" s="30"/>
      <c r="G57" s="31">
        <v>17.8</v>
      </c>
      <c r="H57" s="32"/>
      <c r="I57" s="33"/>
      <c r="J57" s="33"/>
      <c r="K57" s="33">
        <v>17.399999999999999</v>
      </c>
      <c r="L57" s="33">
        <v>18.8</v>
      </c>
      <c r="M57" s="34">
        <v>16.899999999999999</v>
      </c>
      <c r="N57" s="21"/>
      <c r="O57" s="30"/>
      <c r="P57" s="30"/>
      <c r="Q57" s="30"/>
      <c r="R57" s="30"/>
      <c r="S57" s="31"/>
    </row>
    <row r="58" spans="1:19" ht="14.25" customHeight="1">
      <c r="A58" s="27">
        <v>47</v>
      </c>
      <c r="B58" s="30"/>
      <c r="C58" s="29"/>
      <c r="D58" s="30"/>
      <c r="E58" s="30"/>
      <c r="F58" s="30"/>
      <c r="G58" s="31">
        <v>17.8</v>
      </c>
      <c r="H58" s="35"/>
      <c r="I58" s="33"/>
      <c r="J58" s="33"/>
      <c r="K58" s="33">
        <v>18.600000000000001</v>
      </c>
      <c r="L58" s="33">
        <v>18.2</v>
      </c>
      <c r="M58" s="34">
        <v>17</v>
      </c>
      <c r="N58" s="21"/>
      <c r="O58" s="30"/>
      <c r="P58" s="30"/>
      <c r="Q58" s="30"/>
      <c r="R58" s="30"/>
      <c r="S58" s="31"/>
    </row>
    <row r="59" spans="1:19" ht="14.25" customHeight="1">
      <c r="A59" s="27">
        <v>48</v>
      </c>
      <c r="B59" s="30"/>
      <c r="C59" s="29"/>
      <c r="D59" s="30"/>
      <c r="E59" s="30"/>
      <c r="F59" s="30"/>
      <c r="G59" s="31">
        <v>19.7</v>
      </c>
      <c r="H59" s="35"/>
      <c r="I59" s="33"/>
      <c r="J59" s="33"/>
      <c r="K59" s="33">
        <v>16.600000000000001</v>
      </c>
      <c r="L59" s="33">
        <v>18.2</v>
      </c>
      <c r="M59" s="34">
        <v>17.399999999999999</v>
      </c>
      <c r="N59" s="21"/>
      <c r="O59" s="30"/>
      <c r="P59" s="30"/>
      <c r="Q59" s="30"/>
      <c r="R59" s="30"/>
      <c r="S59" s="31"/>
    </row>
    <row r="60" spans="1:19" ht="14.25" customHeight="1">
      <c r="A60" s="27">
        <v>49</v>
      </c>
      <c r="B60" s="30"/>
      <c r="C60" s="29"/>
      <c r="D60" s="30"/>
      <c r="E60" s="30"/>
      <c r="F60" s="30"/>
      <c r="G60" s="31">
        <v>16.600000000000001</v>
      </c>
      <c r="H60" s="35"/>
      <c r="I60" s="33"/>
      <c r="J60" s="33"/>
      <c r="K60" s="33">
        <v>16.2</v>
      </c>
      <c r="L60" s="33">
        <v>18.600000000000001</v>
      </c>
      <c r="M60" s="34">
        <v>16.8</v>
      </c>
      <c r="N60" s="21"/>
      <c r="O60" s="30"/>
      <c r="P60" s="30"/>
      <c r="Q60" s="30"/>
      <c r="R60" s="30"/>
      <c r="S60" s="31"/>
    </row>
    <row r="61" spans="1:19" ht="14.25" customHeight="1">
      <c r="A61" s="27">
        <v>50</v>
      </c>
      <c r="B61" s="30"/>
      <c r="C61" s="29"/>
      <c r="D61" s="30"/>
      <c r="E61" s="30"/>
      <c r="F61" s="30"/>
      <c r="G61" s="31">
        <v>17.8</v>
      </c>
      <c r="H61" s="32"/>
      <c r="I61" s="33"/>
      <c r="J61" s="33"/>
      <c r="K61" s="33">
        <v>17.100000000000001</v>
      </c>
      <c r="L61" s="33">
        <v>17.399999999999999</v>
      </c>
      <c r="M61" s="34">
        <v>16.7</v>
      </c>
      <c r="N61" s="21"/>
      <c r="O61" s="30"/>
      <c r="P61" s="30"/>
      <c r="Q61" s="30"/>
      <c r="R61" s="30"/>
      <c r="S61" s="31"/>
    </row>
    <row r="62" spans="1:19" ht="14.25" customHeight="1">
      <c r="A62" s="27">
        <v>51</v>
      </c>
      <c r="B62" s="30"/>
      <c r="C62" s="29"/>
      <c r="D62" s="30"/>
      <c r="E62" s="30"/>
      <c r="F62" s="30"/>
      <c r="G62" s="31">
        <v>18.8</v>
      </c>
      <c r="H62" s="35"/>
      <c r="I62" s="33"/>
      <c r="J62" s="33"/>
      <c r="K62" s="33">
        <v>17.5</v>
      </c>
      <c r="L62" s="33">
        <v>17.399999999999999</v>
      </c>
      <c r="M62" s="34">
        <v>17.8</v>
      </c>
      <c r="N62" s="21"/>
      <c r="O62" s="30"/>
      <c r="P62" s="30"/>
      <c r="Q62" s="30"/>
      <c r="R62" s="30"/>
      <c r="S62" s="31"/>
    </row>
    <row r="63" spans="1:19" ht="14.25" customHeight="1">
      <c r="A63" s="27">
        <v>52</v>
      </c>
      <c r="B63" s="30"/>
      <c r="C63" s="29"/>
      <c r="D63" s="30"/>
      <c r="E63" s="30"/>
      <c r="F63" s="30"/>
      <c r="G63" s="31">
        <v>17.600000000000001</v>
      </c>
      <c r="H63" s="32"/>
      <c r="I63" s="33"/>
      <c r="J63" s="33"/>
      <c r="K63" s="33">
        <v>5.6</v>
      </c>
      <c r="L63" s="33">
        <v>18.600000000000001</v>
      </c>
      <c r="M63" s="34">
        <v>17.600000000000001</v>
      </c>
      <c r="N63" s="21"/>
      <c r="O63" s="30"/>
      <c r="P63" s="30"/>
      <c r="Q63" s="30"/>
      <c r="R63" s="30"/>
      <c r="S63" s="31"/>
    </row>
    <row r="64" spans="1:19" ht="14.25" customHeight="1">
      <c r="A64" s="27">
        <v>53</v>
      </c>
      <c r="B64" s="30"/>
      <c r="C64" s="29"/>
      <c r="D64" s="30"/>
      <c r="E64" s="30"/>
      <c r="F64" s="30"/>
      <c r="G64" s="31">
        <v>22.7</v>
      </c>
      <c r="H64" s="35"/>
      <c r="I64" s="33"/>
      <c r="J64" s="33"/>
      <c r="K64" s="33"/>
      <c r="L64" s="33"/>
      <c r="M64" s="34">
        <v>17.3</v>
      </c>
      <c r="N64" s="21"/>
      <c r="O64" s="30"/>
      <c r="P64" s="30"/>
      <c r="Q64" s="30"/>
      <c r="R64" s="30"/>
      <c r="S64" s="31"/>
    </row>
    <row r="65" spans="1:19" ht="14.25" customHeight="1">
      <c r="A65" s="27">
        <v>54</v>
      </c>
      <c r="B65" s="30"/>
      <c r="C65" s="29"/>
      <c r="D65" s="30"/>
      <c r="E65" s="30"/>
      <c r="F65" s="30"/>
      <c r="G65" s="31">
        <v>18.399999999999999</v>
      </c>
      <c r="H65" s="35"/>
      <c r="I65" s="33"/>
      <c r="J65" s="33"/>
      <c r="K65" s="33"/>
      <c r="L65" s="33"/>
      <c r="M65" s="34">
        <v>17.600000000000001</v>
      </c>
      <c r="N65" s="21"/>
      <c r="O65" s="30"/>
      <c r="P65" s="30"/>
      <c r="Q65" s="30"/>
      <c r="R65" s="30"/>
      <c r="S65" s="31"/>
    </row>
    <row r="66" spans="1:19" ht="14.25" customHeight="1">
      <c r="A66" s="27">
        <v>55</v>
      </c>
      <c r="B66" s="30"/>
      <c r="C66" s="29"/>
      <c r="D66" s="30"/>
      <c r="E66" s="30"/>
      <c r="F66" s="30"/>
      <c r="G66" s="31">
        <v>18.899999999999999</v>
      </c>
      <c r="H66" s="35"/>
      <c r="I66" s="33"/>
      <c r="J66" s="33"/>
      <c r="K66" s="33"/>
      <c r="L66" s="33"/>
      <c r="M66" s="34">
        <v>17.2</v>
      </c>
      <c r="N66" s="21"/>
      <c r="O66" s="30"/>
      <c r="P66" s="30"/>
      <c r="Q66" s="30"/>
      <c r="R66" s="30"/>
      <c r="S66" s="31"/>
    </row>
    <row r="67" spans="1:19" ht="14.25" customHeight="1">
      <c r="A67" s="27">
        <v>56</v>
      </c>
      <c r="B67" s="30"/>
      <c r="C67" s="29"/>
      <c r="D67" s="30"/>
      <c r="E67" s="30"/>
      <c r="F67" s="30"/>
      <c r="G67" s="31">
        <v>18.7</v>
      </c>
      <c r="H67" s="35"/>
      <c r="I67" s="33"/>
      <c r="J67" s="33"/>
      <c r="K67" s="33"/>
      <c r="L67" s="33"/>
      <c r="M67" s="34">
        <v>18</v>
      </c>
      <c r="N67" s="21"/>
      <c r="O67" s="30"/>
      <c r="P67" s="30"/>
      <c r="Q67" s="30"/>
      <c r="R67" s="30"/>
      <c r="S67" s="31"/>
    </row>
    <row r="68" spans="1:19" ht="14.25" customHeight="1">
      <c r="A68" s="27">
        <v>57</v>
      </c>
      <c r="B68" s="30"/>
      <c r="C68" s="29"/>
      <c r="D68" s="30"/>
      <c r="E68" s="30"/>
      <c r="F68" s="30"/>
      <c r="G68" s="31">
        <v>17.7</v>
      </c>
      <c r="H68" s="35"/>
      <c r="I68" s="33"/>
      <c r="J68" s="33"/>
      <c r="K68" s="33"/>
      <c r="L68" s="33"/>
      <c r="M68" s="34">
        <v>18</v>
      </c>
      <c r="N68" s="21"/>
      <c r="O68" s="30"/>
      <c r="P68" s="30"/>
      <c r="Q68" s="30"/>
      <c r="R68" s="30"/>
      <c r="S68" s="31"/>
    </row>
    <row r="69" spans="1:19" ht="14.25" customHeight="1">
      <c r="A69" s="27">
        <v>58</v>
      </c>
      <c r="B69" s="30"/>
      <c r="C69" s="29"/>
      <c r="D69" s="30"/>
      <c r="E69" s="30"/>
      <c r="F69" s="30"/>
      <c r="G69" s="31">
        <v>20.399999999999999</v>
      </c>
      <c r="H69" s="35"/>
      <c r="I69" s="33"/>
      <c r="J69" s="33"/>
      <c r="K69" s="33"/>
      <c r="L69" s="33"/>
      <c r="M69" s="34">
        <v>18.2</v>
      </c>
      <c r="N69" s="21"/>
      <c r="O69" s="30"/>
      <c r="P69" s="30"/>
      <c r="Q69" s="30"/>
      <c r="R69" s="30"/>
      <c r="S69" s="31"/>
    </row>
    <row r="70" spans="1:19" ht="14.25" customHeight="1">
      <c r="A70" s="27">
        <v>59</v>
      </c>
      <c r="B70" s="30"/>
      <c r="C70" s="29"/>
      <c r="D70" s="30"/>
      <c r="E70" s="30"/>
      <c r="F70" s="30"/>
      <c r="G70" s="31">
        <v>20.100000000000001</v>
      </c>
      <c r="H70" s="35"/>
      <c r="I70" s="33"/>
      <c r="J70" s="33"/>
      <c r="K70" s="33"/>
      <c r="L70" s="33"/>
      <c r="M70" s="34">
        <v>18.399999999999999</v>
      </c>
      <c r="N70" s="21"/>
      <c r="O70" s="30"/>
      <c r="P70" s="30"/>
      <c r="Q70" s="30"/>
      <c r="R70" s="30"/>
      <c r="S70" s="31"/>
    </row>
    <row r="71" spans="1:19" ht="14.25" customHeight="1">
      <c r="A71" s="27">
        <v>60</v>
      </c>
      <c r="B71" s="30"/>
      <c r="C71" s="29"/>
      <c r="D71" s="30"/>
      <c r="E71" s="30"/>
      <c r="F71" s="30"/>
      <c r="G71" s="31">
        <v>19.2</v>
      </c>
      <c r="H71" s="35"/>
      <c r="I71" s="33"/>
      <c r="J71" s="33"/>
      <c r="K71" s="33"/>
      <c r="L71" s="33"/>
      <c r="M71" s="34">
        <v>17.899999999999999</v>
      </c>
      <c r="N71" s="21"/>
      <c r="O71" s="30"/>
      <c r="P71" s="30"/>
      <c r="Q71" s="30"/>
      <c r="R71" s="30"/>
      <c r="S71" s="31"/>
    </row>
    <row r="72" spans="1:19" ht="14.25" customHeight="1">
      <c r="A72" s="27">
        <v>61</v>
      </c>
      <c r="B72" s="30"/>
      <c r="C72" s="29"/>
      <c r="D72" s="30"/>
      <c r="E72" s="30"/>
      <c r="F72" s="30"/>
      <c r="G72" s="31">
        <v>19.600000000000001</v>
      </c>
      <c r="H72" s="35"/>
      <c r="I72" s="33"/>
      <c r="J72" s="33"/>
      <c r="K72" s="33"/>
      <c r="L72" s="33"/>
      <c r="M72" s="34">
        <v>17.3</v>
      </c>
      <c r="N72" s="21"/>
      <c r="O72" s="30"/>
      <c r="P72" s="30"/>
      <c r="Q72" s="30"/>
      <c r="R72" s="30"/>
      <c r="S72" s="31"/>
    </row>
    <row r="73" spans="1:19" ht="14.25" customHeight="1">
      <c r="A73" s="27">
        <v>62</v>
      </c>
      <c r="B73" s="30"/>
      <c r="C73" s="29"/>
      <c r="D73" s="30"/>
      <c r="E73" s="30"/>
      <c r="F73" s="30"/>
      <c r="G73" s="31">
        <v>19.3</v>
      </c>
      <c r="H73" s="35"/>
      <c r="I73" s="33"/>
      <c r="J73" s="33"/>
      <c r="K73" s="33"/>
      <c r="L73" s="33"/>
      <c r="M73" s="34">
        <v>17.3</v>
      </c>
      <c r="N73" s="21"/>
      <c r="O73" s="30"/>
      <c r="P73" s="30"/>
      <c r="Q73" s="30"/>
      <c r="R73" s="30"/>
      <c r="S73" s="31"/>
    </row>
    <row r="74" spans="1:19" ht="14.25" customHeight="1">
      <c r="A74" s="27">
        <v>63</v>
      </c>
      <c r="B74" s="30"/>
      <c r="C74" s="29"/>
      <c r="D74" s="30"/>
      <c r="E74" s="30"/>
      <c r="F74" s="30"/>
      <c r="G74" s="31">
        <v>20.5</v>
      </c>
      <c r="H74" s="35"/>
      <c r="I74" s="33"/>
      <c r="J74" s="33"/>
      <c r="K74" s="33"/>
      <c r="L74" s="33"/>
      <c r="M74" s="34">
        <v>17.399999999999999</v>
      </c>
      <c r="N74" s="21"/>
      <c r="O74" s="30"/>
      <c r="P74" s="30"/>
      <c r="Q74" s="30"/>
      <c r="R74" s="30"/>
      <c r="S74" s="31"/>
    </row>
    <row r="75" spans="1:19" ht="14.25" customHeight="1">
      <c r="A75" s="27">
        <v>64</v>
      </c>
      <c r="B75" s="30"/>
      <c r="C75" s="29"/>
      <c r="D75" s="30"/>
      <c r="E75" s="30"/>
      <c r="F75" s="30"/>
      <c r="G75" s="31">
        <v>18.899999999999999</v>
      </c>
      <c r="H75" s="35"/>
      <c r="I75" s="33"/>
      <c r="J75" s="33"/>
      <c r="K75" s="33"/>
      <c r="L75" s="33"/>
      <c r="M75" s="34">
        <v>12.3</v>
      </c>
      <c r="N75" s="21"/>
      <c r="O75" s="30"/>
      <c r="P75" s="30"/>
      <c r="Q75" s="30"/>
      <c r="R75" s="30"/>
      <c r="S75" s="31"/>
    </row>
    <row r="76" spans="1:19" ht="14.25" customHeight="1">
      <c r="A76" s="27">
        <v>65</v>
      </c>
      <c r="B76" s="30"/>
      <c r="C76" s="29"/>
      <c r="D76" s="30"/>
      <c r="E76" s="30"/>
      <c r="F76" s="30"/>
      <c r="G76" s="31">
        <v>18.2</v>
      </c>
      <c r="H76" s="35"/>
      <c r="I76" s="33"/>
      <c r="J76" s="33"/>
      <c r="K76" s="33"/>
      <c r="L76" s="33"/>
      <c r="M76" s="34">
        <v>17.7</v>
      </c>
      <c r="N76" s="21"/>
      <c r="O76" s="30"/>
      <c r="P76" s="30"/>
      <c r="Q76" s="30"/>
      <c r="R76" s="30"/>
      <c r="S76" s="31"/>
    </row>
    <row r="77" spans="1:19" ht="14.25" customHeight="1">
      <c r="A77" s="27">
        <v>66</v>
      </c>
      <c r="B77" s="30"/>
      <c r="C77" s="29"/>
      <c r="D77" s="30"/>
      <c r="E77" s="30"/>
      <c r="F77" s="30"/>
      <c r="G77" s="31">
        <v>18.600000000000001</v>
      </c>
      <c r="H77" s="35"/>
      <c r="I77" s="33"/>
      <c r="J77" s="33"/>
      <c r="K77" s="33"/>
      <c r="L77" s="33"/>
      <c r="M77" s="34">
        <v>17.7</v>
      </c>
      <c r="N77" s="21"/>
      <c r="O77" s="30"/>
      <c r="P77" s="30"/>
      <c r="Q77" s="30"/>
      <c r="R77" s="30"/>
      <c r="S77" s="31"/>
    </row>
    <row r="78" spans="1:19" ht="14.25" customHeight="1">
      <c r="A78" s="27">
        <v>67</v>
      </c>
      <c r="B78" s="30"/>
      <c r="C78" s="29"/>
      <c r="D78" s="30"/>
      <c r="E78" s="30"/>
      <c r="F78" s="30"/>
      <c r="G78" s="31">
        <v>18.3</v>
      </c>
      <c r="H78" s="35"/>
      <c r="I78" s="33"/>
      <c r="J78" s="33"/>
      <c r="K78" s="33"/>
      <c r="L78" s="33"/>
      <c r="M78" s="34">
        <v>17.100000000000001</v>
      </c>
      <c r="N78" s="21"/>
      <c r="O78" s="30"/>
      <c r="P78" s="30"/>
      <c r="Q78" s="30"/>
      <c r="R78" s="30"/>
      <c r="S78" s="31"/>
    </row>
    <row r="79" spans="1:19" ht="14.25" customHeight="1">
      <c r="A79" s="27">
        <v>68</v>
      </c>
      <c r="B79" s="30"/>
      <c r="C79" s="29"/>
      <c r="D79" s="30"/>
      <c r="E79" s="30"/>
      <c r="F79" s="30"/>
      <c r="G79" s="31">
        <v>18.8</v>
      </c>
      <c r="H79" s="35"/>
      <c r="I79" s="33"/>
      <c r="J79" s="33"/>
      <c r="K79" s="33"/>
      <c r="L79" s="33"/>
      <c r="M79" s="34">
        <v>18.2</v>
      </c>
      <c r="N79" s="21"/>
      <c r="O79" s="30"/>
      <c r="P79" s="30"/>
      <c r="Q79" s="30"/>
      <c r="R79" s="30"/>
      <c r="S79" s="31"/>
    </row>
    <row r="80" spans="1:19" ht="14.25" customHeight="1">
      <c r="A80" s="27">
        <v>69</v>
      </c>
      <c r="B80" s="30"/>
      <c r="C80" s="29"/>
      <c r="D80" s="30"/>
      <c r="E80" s="30"/>
      <c r="F80" s="30"/>
      <c r="G80" s="31">
        <v>19</v>
      </c>
      <c r="H80" s="35"/>
      <c r="I80" s="33"/>
      <c r="J80" s="33"/>
      <c r="K80" s="33"/>
      <c r="L80" s="33"/>
      <c r="M80" s="34">
        <v>17.399999999999999</v>
      </c>
      <c r="N80" s="21"/>
      <c r="O80" s="30"/>
      <c r="P80" s="30"/>
      <c r="Q80" s="30"/>
      <c r="R80" s="30"/>
      <c r="S80" s="31"/>
    </row>
    <row r="81" spans="1:19" ht="14.25" customHeight="1">
      <c r="A81" s="27">
        <v>70</v>
      </c>
      <c r="B81" s="30"/>
      <c r="C81" s="29"/>
      <c r="D81" s="30"/>
      <c r="E81" s="30"/>
      <c r="F81" s="30"/>
      <c r="G81" s="31">
        <v>19.2</v>
      </c>
      <c r="H81" s="35"/>
      <c r="I81" s="33"/>
      <c r="J81" s="33"/>
      <c r="K81" s="33"/>
      <c r="L81" s="33"/>
      <c r="M81" s="34">
        <v>17.899999999999999</v>
      </c>
      <c r="N81" s="21"/>
      <c r="O81" s="30"/>
      <c r="P81" s="30"/>
      <c r="Q81" s="30"/>
      <c r="R81" s="30"/>
      <c r="S81" s="31"/>
    </row>
    <row r="82" spans="1:19" ht="14.25" customHeight="1">
      <c r="A82" s="27">
        <v>71</v>
      </c>
      <c r="B82" s="30"/>
      <c r="C82" s="29"/>
      <c r="D82" s="30"/>
      <c r="E82" s="30"/>
      <c r="F82" s="30"/>
      <c r="G82" s="31">
        <v>19</v>
      </c>
      <c r="H82" s="35"/>
      <c r="I82" s="33"/>
      <c r="J82" s="33"/>
      <c r="K82" s="33"/>
      <c r="L82" s="33"/>
      <c r="M82" s="34">
        <v>17.600000000000001</v>
      </c>
      <c r="N82" s="21"/>
      <c r="O82" s="30"/>
      <c r="P82" s="30"/>
      <c r="Q82" s="30"/>
      <c r="R82" s="30"/>
      <c r="S82" s="31"/>
    </row>
    <row r="83" spans="1:19" ht="14.25" customHeight="1">
      <c r="A83" s="27">
        <v>72</v>
      </c>
      <c r="B83" s="30"/>
      <c r="C83" s="29"/>
      <c r="D83" s="30"/>
      <c r="E83" s="30"/>
      <c r="F83" s="30"/>
      <c r="G83" s="31">
        <v>20.100000000000001</v>
      </c>
      <c r="H83" s="35"/>
      <c r="I83" s="33"/>
      <c r="J83" s="33"/>
      <c r="K83" s="33"/>
      <c r="L83" s="33"/>
      <c r="M83" s="34">
        <v>18</v>
      </c>
      <c r="N83" s="21"/>
      <c r="O83" s="30"/>
      <c r="P83" s="30"/>
      <c r="Q83" s="30"/>
      <c r="R83" s="30"/>
      <c r="S83" s="31"/>
    </row>
    <row r="84" spans="1:19" ht="14.25" customHeight="1">
      <c r="A84" s="27">
        <v>73</v>
      </c>
      <c r="B84" s="30"/>
      <c r="C84" s="29"/>
      <c r="D84" s="30"/>
      <c r="E84" s="30"/>
      <c r="F84" s="30"/>
      <c r="G84" s="31">
        <v>19.2</v>
      </c>
      <c r="H84" s="35"/>
      <c r="I84" s="33"/>
      <c r="J84" s="33"/>
      <c r="K84" s="33"/>
      <c r="L84" s="33"/>
      <c r="M84" s="34">
        <v>18.399999999999999</v>
      </c>
      <c r="N84" s="21"/>
      <c r="O84" s="30"/>
      <c r="P84" s="30"/>
      <c r="Q84" s="30"/>
      <c r="R84" s="30"/>
      <c r="S84" s="31"/>
    </row>
    <row r="85" spans="1:19" ht="14.25" customHeight="1">
      <c r="A85" s="27">
        <v>74</v>
      </c>
      <c r="B85" s="30"/>
      <c r="C85" s="29"/>
      <c r="D85" s="30"/>
      <c r="E85" s="30"/>
      <c r="F85" s="30"/>
      <c r="G85" s="31">
        <v>18.8</v>
      </c>
      <c r="H85" s="35"/>
      <c r="I85" s="33"/>
      <c r="J85" s="33"/>
      <c r="K85" s="33"/>
      <c r="L85" s="33"/>
      <c r="M85" s="34">
        <v>17.3</v>
      </c>
      <c r="N85" s="21"/>
      <c r="O85" s="30"/>
      <c r="P85" s="30"/>
      <c r="Q85" s="30"/>
      <c r="R85" s="30"/>
      <c r="S85" s="31"/>
    </row>
    <row r="86" spans="1:19" ht="14.25" customHeight="1">
      <c r="A86" s="27">
        <v>75</v>
      </c>
      <c r="B86" s="30"/>
      <c r="C86" s="29"/>
      <c r="D86" s="30"/>
      <c r="E86" s="30"/>
      <c r="F86" s="30"/>
      <c r="G86" s="31">
        <v>19.5</v>
      </c>
      <c r="H86" s="35"/>
      <c r="I86" s="33"/>
      <c r="J86" s="33"/>
      <c r="K86" s="33"/>
      <c r="L86" s="33"/>
      <c r="M86" s="34">
        <v>17.899999999999999</v>
      </c>
      <c r="N86" s="21"/>
      <c r="O86" s="30"/>
      <c r="P86" s="30"/>
      <c r="Q86" s="30"/>
      <c r="R86" s="30"/>
      <c r="S86" s="31"/>
    </row>
    <row r="87" spans="1:19" ht="14.25" customHeight="1">
      <c r="A87" s="27">
        <v>76</v>
      </c>
      <c r="B87" s="30"/>
      <c r="C87" s="29"/>
      <c r="D87" s="30"/>
      <c r="E87" s="30"/>
      <c r="F87" s="30"/>
      <c r="G87" s="31">
        <v>19.600000000000001</v>
      </c>
      <c r="H87" s="35"/>
      <c r="I87" s="33"/>
      <c r="J87" s="33"/>
      <c r="K87" s="33"/>
      <c r="L87" s="33"/>
      <c r="M87" s="34"/>
      <c r="N87" s="21"/>
      <c r="O87" s="30"/>
      <c r="P87" s="30"/>
      <c r="Q87" s="30"/>
      <c r="R87" s="30"/>
      <c r="S87" s="31"/>
    </row>
    <row r="88" spans="1:19" ht="14.25" customHeight="1">
      <c r="A88" s="27">
        <v>77</v>
      </c>
      <c r="B88" s="30"/>
      <c r="C88" s="29"/>
      <c r="D88" s="30"/>
      <c r="E88" s="30"/>
      <c r="F88" s="30"/>
      <c r="G88" s="31">
        <v>19.3</v>
      </c>
      <c r="H88" s="35"/>
      <c r="I88" s="33"/>
      <c r="J88" s="33"/>
      <c r="K88" s="33"/>
      <c r="L88" s="33"/>
      <c r="M88" s="34"/>
      <c r="N88" s="21"/>
      <c r="O88" s="30"/>
      <c r="P88" s="30"/>
      <c r="Q88" s="30"/>
      <c r="R88" s="30"/>
      <c r="S88" s="31"/>
    </row>
    <row r="89" spans="1:19" ht="14.25" customHeight="1">
      <c r="A89" s="27">
        <v>78</v>
      </c>
      <c r="B89" s="30"/>
      <c r="C89" s="29"/>
      <c r="D89" s="30"/>
      <c r="E89" s="30"/>
      <c r="F89" s="30"/>
      <c r="G89" s="31">
        <v>19.899999999999999</v>
      </c>
      <c r="H89" s="35"/>
      <c r="I89" s="33"/>
      <c r="J89" s="33"/>
      <c r="K89" s="33"/>
      <c r="L89" s="33"/>
      <c r="M89" s="34"/>
      <c r="N89" s="21"/>
      <c r="O89" s="30"/>
      <c r="P89" s="30"/>
      <c r="Q89" s="30"/>
      <c r="R89" s="30"/>
      <c r="S89" s="31"/>
    </row>
    <row r="90" spans="1:19" ht="14.25" customHeight="1">
      <c r="A90" s="27">
        <v>79</v>
      </c>
      <c r="B90" s="30"/>
      <c r="C90" s="29"/>
      <c r="D90" s="30"/>
      <c r="E90" s="30"/>
      <c r="F90" s="30"/>
      <c r="G90" s="31">
        <v>19.3</v>
      </c>
      <c r="H90" s="35"/>
      <c r="I90" s="33"/>
      <c r="J90" s="33"/>
      <c r="K90" s="33"/>
      <c r="L90" s="33"/>
      <c r="M90" s="34"/>
      <c r="N90" s="21"/>
      <c r="O90" s="30"/>
      <c r="P90" s="30"/>
      <c r="Q90" s="30"/>
      <c r="R90" s="30"/>
      <c r="S90" s="31"/>
    </row>
    <row r="91" spans="1:19" ht="14.25" customHeight="1">
      <c r="A91" s="27">
        <v>80</v>
      </c>
      <c r="B91" s="30"/>
      <c r="C91" s="29"/>
      <c r="D91" s="30"/>
      <c r="E91" s="30"/>
      <c r="F91" s="30"/>
      <c r="G91" s="31">
        <v>19.2</v>
      </c>
      <c r="H91" s="35"/>
      <c r="I91" s="33"/>
      <c r="J91" s="33"/>
      <c r="K91" s="33"/>
      <c r="L91" s="33"/>
      <c r="M91" s="34"/>
      <c r="N91" s="21"/>
      <c r="O91" s="30"/>
      <c r="P91" s="30"/>
      <c r="Q91" s="30"/>
      <c r="R91" s="30"/>
      <c r="S91" s="31"/>
    </row>
    <row r="92" spans="1:19" ht="14.25" customHeight="1">
      <c r="A92" s="27">
        <v>81</v>
      </c>
      <c r="B92" s="30"/>
      <c r="C92" s="29"/>
      <c r="D92" s="30"/>
      <c r="E92" s="30"/>
      <c r="F92" s="30"/>
      <c r="G92" s="31">
        <v>19.600000000000001</v>
      </c>
      <c r="H92" s="35"/>
      <c r="I92" s="33"/>
      <c r="J92" s="33"/>
      <c r="K92" s="33"/>
      <c r="L92" s="33"/>
      <c r="M92" s="34"/>
      <c r="N92" s="21"/>
      <c r="O92" s="30"/>
      <c r="P92" s="30"/>
      <c r="Q92" s="30"/>
      <c r="R92" s="30"/>
      <c r="S92" s="31"/>
    </row>
    <row r="93" spans="1:19" ht="14.25" customHeight="1">
      <c r="A93" s="27">
        <v>82</v>
      </c>
      <c r="B93" s="30"/>
      <c r="C93" s="29"/>
      <c r="D93" s="30"/>
      <c r="E93" s="30"/>
      <c r="F93" s="30"/>
      <c r="G93" s="31">
        <v>20</v>
      </c>
      <c r="H93" s="35"/>
      <c r="I93" s="33"/>
      <c r="J93" s="33"/>
      <c r="K93" s="33"/>
      <c r="L93" s="33"/>
      <c r="M93" s="34"/>
      <c r="N93" s="21"/>
      <c r="O93" s="30"/>
      <c r="P93" s="30"/>
      <c r="Q93" s="30"/>
      <c r="R93" s="30"/>
      <c r="S93" s="31"/>
    </row>
    <row r="94" spans="1:19" ht="14.25" customHeight="1">
      <c r="A94" s="27">
        <v>83</v>
      </c>
      <c r="B94" s="30"/>
      <c r="C94" s="29"/>
      <c r="D94" s="30"/>
      <c r="E94" s="30"/>
      <c r="F94" s="30"/>
      <c r="G94" s="31">
        <v>20.100000000000001</v>
      </c>
      <c r="H94" s="35"/>
      <c r="I94" s="33"/>
      <c r="J94" s="33"/>
      <c r="K94" s="33"/>
      <c r="L94" s="33"/>
      <c r="M94" s="34"/>
      <c r="N94" s="21"/>
      <c r="O94" s="30"/>
      <c r="P94" s="30"/>
      <c r="Q94" s="30"/>
      <c r="R94" s="30"/>
      <c r="S94" s="31"/>
    </row>
    <row r="95" spans="1:19" ht="14.25" customHeight="1">
      <c r="A95" s="27">
        <v>84</v>
      </c>
      <c r="B95" s="30"/>
      <c r="C95" s="29"/>
      <c r="D95" s="30"/>
      <c r="E95" s="30"/>
      <c r="F95" s="30"/>
      <c r="G95" s="31">
        <v>20.7</v>
      </c>
      <c r="H95" s="35"/>
      <c r="I95" s="33"/>
      <c r="J95" s="33"/>
      <c r="K95" s="33"/>
      <c r="L95" s="33"/>
      <c r="M95" s="34"/>
      <c r="N95" s="21"/>
      <c r="O95" s="30"/>
      <c r="P95" s="30"/>
      <c r="Q95" s="30"/>
      <c r="R95" s="30"/>
      <c r="S95" s="31"/>
    </row>
    <row r="96" spans="1:19" ht="14.25" customHeight="1">
      <c r="A96" s="27">
        <v>85</v>
      </c>
      <c r="B96" s="30"/>
      <c r="C96" s="29"/>
      <c r="D96" s="30"/>
      <c r="E96" s="30"/>
      <c r="F96" s="30"/>
      <c r="G96" s="31">
        <v>20.6</v>
      </c>
      <c r="H96" s="35"/>
      <c r="I96" s="33"/>
      <c r="J96" s="33"/>
      <c r="K96" s="33"/>
      <c r="L96" s="33"/>
      <c r="M96" s="34"/>
      <c r="N96" s="21"/>
      <c r="O96" s="30"/>
      <c r="P96" s="30"/>
      <c r="Q96" s="30"/>
      <c r="R96" s="30"/>
      <c r="S96" s="31"/>
    </row>
    <row r="97" spans="1:19" ht="14.25" customHeight="1">
      <c r="A97" s="27">
        <v>86</v>
      </c>
      <c r="B97" s="30"/>
      <c r="C97" s="29"/>
      <c r="D97" s="30"/>
      <c r="E97" s="30"/>
      <c r="F97" s="30"/>
      <c r="G97" s="31">
        <v>19.399999999999999</v>
      </c>
      <c r="H97" s="35"/>
      <c r="I97" s="33"/>
      <c r="J97" s="33"/>
      <c r="K97" s="33"/>
      <c r="L97" s="33"/>
      <c r="M97" s="34"/>
      <c r="N97" s="21"/>
      <c r="O97" s="30"/>
      <c r="P97" s="30"/>
      <c r="Q97" s="30"/>
      <c r="R97" s="30"/>
      <c r="S97" s="31"/>
    </row>
    <row r="98" spans="1:19" ht="14.25" customHeight="1">
      <c r="A98" s="27">
        <v>87</v>
      </c>
      <c r="B98" s="30"/>
      <c r="C98" s="29"/>
      <c r="D98" s="30"/>
      <c r="E98" s="30"/>
      <c r="F98" s="30"/>
      <c r="G98" s="31">
        <v>20.100000000000001</v>
      </c>
      <c r="H98" s="35"/>
      <c r="I98" s="33"/>
      <c r="J98" s="33"/>
      <c r="K98" s="33"/>
      <c r="L98" s="33"/>
      <c r="M98" s="34"/>
      <c r="N98" s="21"/>
      <c r="O98" s="30"/>
      <c r="P98" s="30"/>
      <c r="Q98" s="30"/>
      <c r="R98" s="30"/>
      <c r="S98" s="31"/>
    </row>
    <row r="99" spans="1:19" ht="14.25" customHeight="1">
      <c r="A99" s="27">
        <v>88</v>
      </c>
      <c r="B99" s="30"/>
      <c r="C99" s="29"/>
      <c r="D99" s="30"/>
      <c r="E99" s="30"/>
      <c r="F99" s="30"/>
      <c r="G99" s="31">
        <v>18.8</v>
      </c>
      <c r="H99" s="35"/>
      <c r="I99" s="33"/>
      <c r="J99" s="33"/>
      <c r="K99" s="33"/>
      <c r="L99" s="33"/>
      <c r="M99" s="34"/>
      <c r="N99" s="21"/>
      <c r="O99" s="30"/>
      <c r="P99" s="30"/>
      <c r="Q99" s="30"/>
      <c r="R99" s="30"/>
      <c r="S99" s="31"/>
    </row>
    <row r="100" spans="1:19" ht="14.25" customHeight="1">
      <c r="A100" s="27">
        <v>89</v>
      </c>
      <c r="B100" s="30"/>
      <c r="C100" s="29"/>
      <c r="D100" s="30"/>
      <c r="E100" s="30"/>
      <c r="F100" s="30"/>
      <c r="G100" s="31">
        <v>20.399999999999999</v>
      </c>
      <c r="H100" s="35"/>
      <c r="I100" s="33"/>
      <c r="J100" s="33"/>
      <c r="K100" s="33"/>
      <c r="L100" s="33"/>
      <c r="M100" s="34"/>
      <c r="N100" s="21"/>
      <c r="O100" s="30"/>
      <c r="P100" s="30"/>
      <c r="Q100" s="30"/>
      <c r="R100" s="30"/>
      <c r="S100" s="31"/>
    </row>
    <row r="101" spans="1:19" ht="14.25" customHeight="1">
      <c r="A101" s="27">
        <v>90</v>
      </c>
      <c r="B101" s="30"/>
      <c r="C101" s="29"/>
      <c r="D101" s="30"/>
      <c r="E101" s="30"/>
      <c r="F101" s="30"/>
      <c r="G101" s="31">
        <v>19.8</v>
      </c>
      <c r="H101" s="35"/>
      <c r="I101" s="33"/>
      <c r="J101" s="33"/>
      <c r="K101" s="33"/>
      <c r="L101" s="33"/>
      <c r="M101" s="34"/>
      <c r="N101" s="21"/>
      <c r="O101" s="30"/>
      <c r="P101" s="30"/>
      <c r="Q101" s="30"/>
      <c r="R101" s="30"/>
      <c r="S101" s="31"/>
    </row>
    <row r="102" spans="1:19" ht="14.25" customHeight="1">
      <c r="A102" s="27">
        <v>91</v>
      </c>
      <c r="B102" s="30"/>
      <c r="C102" s="29"/>
      <c r="D102" s="30"/>
      <c r="E102" s="30"/>
      <c r="F102" s="30"/>
      <c r="G102" s="31">
        <v>19.2</v>
      </c>
      <c r="H102" s="35"/>
      <c r="I102" s="33"/>
      <c r="J102" s="33"/>
      <c r="K102" s="33"/>
      <c r="L102" s="33"/>
      <c r="M102" s="34"/>
      <c r="N102" s="21"/>
      <c r="O102" s="30"/>
      <c r="P102" s="30"/>
      <c r="Q102" s="30"/>
      <c r="R102" s="30"/>
      <c r="S102" s="31"/>
    </row>
    <row r="103" spans="1:19" ht="14.25" customHeight="1">
      <c r="A103" s="27">
        <v>92</v>
      </c>
      <c r="B103" s="30"/>
      <c r="C103" s="29"/>
      <c r="D103" s="30"/>
      <c r="E103" s="30"/>
      <c r="F103" s="30"/>
      <c r="G103" s="31">
        <v>20.7</v>
      </c>
      <c r="H103" s="35"/>
      <c r="I103" s="33"/>
      <c r="J103" s="33"/>
      <c r="K103" s="33"/>
      <c r="L103" s="33"/>
      <c r="M103" s="34"/>
      <c r="N103" s="21"/>
      <c r="O103" s="30"/>
      <c r="P103" s="30"/>
      <c r="Q103" s="30"/>
      <c r="R103" s="30"/>
      <c r="S103" s="31"/>
    </row>
    <row r="104" spans="1:19" ht="14.25" customHeight="1">
      <c r="A104" s="27">
        <v>93</v>
      </c>
      <c r="B104" s="30"/>
      <c r="C104" s="29"/>
      <c r="D104" s="30"/>
      <c r="E104" s="30"/>
      <c r="F104" s="30"/>
      <c r="G104" s="31">
        <v>19.5</v>
      </c>
      <c r="H104" s="35"/>
      <c r="I104" s="33"/>
      <c r="J104" s="33"/>
      <c r="K104" s="33"/>
      <c r="L104" s="33"/>
      <c r="M104" s="34"/>
      <c r="N104" s="21"/>
      <c r="O104" s="30"/>
      <c r="P104" s="30"/>
      <c r="Q104" s="30"/>
      <c r="R104" s="30"/>
      <c r="S104" s="31"/>
    </row>
    <row r="105" spans="1:19" ht="14.25" customHeight="1">
      <c r="A105" s="27">
        <v>94</v>
      </c>
      <c r="B105" s="30"/>
      <c r="C105" s="29"/>
      <c r="D105" s="30"/>
      <c r="E105" s="30"/>
      <c r="F105" s="30"/>
      <c r="G105" s="31">
        <v>19.2</v>
      </c>
      <c r="H105" s="35"/>
      <c r="I105" s="33"/>
      <c r="J105" s="33"/>
      <c r="K105" s="33"/>
      <c r="L105" s="33"/>
      <c r="M105" s="34"/>
      <c r="N105" s="21"/>
      <c r="O105" s="30"/>
      <c r="P105" s="30"/>
      <c r="Q105" s="30"/>
      <c r="R105" s="30"/>
      <c r="S105" s="31"/>
    </row>
    <row r="106" spans="1:19" ht="14.25" customHeight="1">
      <c r="A106" s="27">
        <v>95</v>
      </c>
      <c r="B106" s="30"/>
      <c r="C106" s="29"/>
      <c r="D106" s="30"/>
      <c r="E106" s="30"/>
      <c r="F106" s="30"/>
      <c r="G106" s="31">
        <v>19.3</v>
      </c>
      <c r="H106" s="35"/>
      <c r="I106" s="33"/>
      <c r="J106" s="33"/>
      <c r="K106" s="33"/>
      <c r="L106" s="33"/>
      <c r="M106" s="34"/>
      <c r="N106" s="21"/>
      <c r="O106" s="30"/>
      <c r="P106" s="30"/>
      <c r="Q106" s="30"/>
      <c r="R106" s="30"/>
      <c r="S106" s="31"/>
    </row>
    <row r="107" spans="1:19" ht="14.25" customHeight="1">
      <c r="A107" s="27">
        <v>96</v>
      </c>
      <c r="B107" s="30"/>
      <c r="C107" s="29"/>
      <c r="D107" s="30"/>
      <c r="E107" s="30"/>
      <c r="F107" s="30"/>
      <c r="G107" s="31">
        <v>19.399999999999999</v>
      </c>
      <c r="H107" s="35"/>
      <c r="I107" s="33"/>
      <c r="J107" s="33"/>
      <c r="K107" s="33"/>
      <c r="L107" s="33"/>
      <c r="M107" s="34"/>
      <c r="N107" s="21"/>
      <c r="O107" s="30"/>
      <c r="P107" s="30"/>
      <c r="Q107" s="30"/>
      <c r="R107" s="30"/>
      <c r="S107" s="31"/>
    </row>
    <row r="108" spans="1:19" ht="14.25" customHeight="1">
      <c r="A108" s="27">
        <v>97</v>
      </c>
      <c r="B108" s="30"/>
      <c r="C108" s="29"/>
      <c r="D108" s="30"/>
      <c r="E108" s="30"/>
      <c r="F108" s="30"/>
      <c r="G108" s="31"/>
      <c r="H108" s="35"/>
      <c r="I108" s="33"/>
      <c r="J108" s="33"/>
      <c r="K108" s="33"/>
      <c r="L108" s="33"/>
      <c r="M108" s="34"/>
      <c r="N108" s="21"/>
      <c r="O108" s="30"/>
      <c r="P108" s="30"/>
      <c r="Q108" s="30"/>
      <c r="R108" s="30"/>
      <c r="S108" s="31"/>
    </row>
    <row r="109" spans="1:19" ht="14.25" customHeight="1">
      <c r="A109" s="27">
        <v>98</v>
      </c>
      <c r="B109" s="30"/>
      <c r="C109" s="29"/>
      <c r="D109" s="30"/>
      <c r="E109" s="30"/>
      <c r="F109" s="30"/>
      <c r="G109" s="31"/>
      <c r="H109" s="35"/>
      <c r="I109" s="33"/>
      <c r="J109" s="33"/>
      <c r="K109" s="33"/>
      <c r="L109" s="33"/>
      <c r="M109" s="34"/>
      <c r="N109" s="21"/>
      <c r="O109" s="30"/>
      <c r="P109" s="30"/>
      <c r="Q109" s="30"/>
      <c r="R109" s="30"/>
      <c r="S109" s="31"/>
    </row>
    <row r="110" spans="1:19" ht="14.25" customHeight="1">
      <c r="A110" s="27">
        <v>99</v>
      </c>
      <c r="B110" s="30"/>
      <c r="C110" s="29"/>
      <c r="D110" s="30"/>
      <c r="E110" s="30"/>
      <c r="F110" s="30"/>
      <c r="G110" s="31"/>
      <c r="H110" s="35"/>
      <c r="I110" s="33"/>
      <c r="J110" s="33"/>
      <c r="K110" s="33"/>
      <c r="L110" s="33"/>
      <c r="M110" s="34"/>
      <c r="N110" s="21"/>
      <c r="O110" s="30"/>
      <c r="P110" s="30"/>
      <c r="Q110" s="30"/>
      <c r="R110" s="30"/>
      <c r="S110" s="31"/>
    </row>
    <row r="111" spans="1:19" ht="14.25" customHeight="1">
      <c r="A111" s="27">
        <v>100</v>
      </c>
      <c r="B111" s="30"/>
      <c r="C111" s="29"/>
      <c r="D111" s="30"/>
      <c r="E111" s="30"/>
      <c r="F111" s="30"/>
      <c r="G111" s="31"/>
      <c r="H111" s="35"/>
      <c r="I111" s="33"/>
      <c r="J111" s="33"/>
      <c r="K111" s="33"/>
      <c r="L111" s="33"/>
      <c r="M111" s="34"/>
      <c r="N111" s="21"/>
      <c r="O111" s="30"/>
      <c r="P111" s="30"/>
      <c r="Q111" s="30"/>
      <c r="R111" s="30"/>
      <c r="S111" s="31"/>
    </row>
    <row r="112" spans="1:19" ht="14.25" customHeight="1">
      <c r="A112" s="27">
        <v>101</v>
      </c>
      <c r="B112" s="30"/>
      <c r="C112" s="29"/>
      <c r="D112" s="30"/>
      <c r="E112" s="30"/>
      <c r="F112" s="30"/>
      <c r="G112" s="31"/>
      <c r="H112" s="35"/>
      <c r="I112" s="33"/>
      <c r="J112" s="33"/>
      <c r="K112" s="33"/>
      <c r="L112" s="33"/>
      <c r="M112" s="34"/>
      <c r="N112" s="21"/>
      <c r="O112" s="30"/>
      <c r="P112" s="30"/>
      <c r="Q112" s="30"/>
      <c r="R112" s="30"/>
      <c r="S112" s="31"/>
    </row>
    <row r="113" spans="1:19" ht="14.25" customHeight="1">
      <c r="A113" s="27">
        <v>102</v>
      </c>
      <c r="B113" s="30"/>
      <c r="C113" s="29"/>
      <c r="D113" s="30"/>
      <c r="E113" s="30"/>
      <c r="F113" s="30"/>
      <c r="G113" s="31"/>
      <c r="H113" s="35"/>
      <c r="I113" s="33"/>
      <c r="J113" s="33"/>
      <c r="K113" s="33"/>
      <c r="L113" s="33"/>
      <c r="M113" s="34"/>
      <c r="N113" s="21"/>
      <c r="O113" s="30"/>
      <c r="P113" s="30"/>
      <c r="Q113" s="30"/>
      <c r="R113" s="30"/>
      <c r="S113" s="31"/>
    </row>
    <row r="114" spans="1:19" ht="14.25" customHeight="1">
      <c r="A114" s="27">
        <v>103</v>
      </c>
      <c r="B114" s="30"/>
      <c r="C114" s="29"/>
      <c r="D114" s="30"/>
      <c r="E114" s="30"/>
      <c r="F114" s="30"/>
      <c r="G114" s="31"/>
      <c r="H114" s="35"/>
      <c r="I114" s="33"/>
      <c r="J114" s="33"/>
      <c r="K114" s="33"/>
      <c r="L114" s="33"/>
      <c r="M114" s="34"/>
      <c r="N114" s="21"/>
      <c r="O114" s="30"/>
      <c r="P114" s="30"/>
      <c r="Q114" s="30"/>
      <c r="R114" s="30"/>
      <c r="S114" s="31"/>
    </row>
    <row r="115" spans="1:19" ht="14.25" customHeight="1">
      <c r="A115" s="27">
        <v>104</v>
      </c>
      <c r="B115" s="30"/>
      <c r="C115" s="29"/>
      <c r="D115" s="30"/>
      <c r="E115" s="30"/>
      <c r="F115" s="30"/>
      <c r="G115" s="31"/>
      <c r="H115" s="35"/>
      <c r="I115" s="33"/>
      <c r="J115" s="33"/>
      <c r="K115" s="33"/>
      <c r="L115" s="33"/>
      <c r="M115" s="34"/>
      <c r="N115" s="21"/>
      <c r="O115" s="30"/>
      <c r="P115" s="30"/>
      <c r="Q115" s="30"/>
      <c r="R115" s="30"/>
      <c r="S115" s="31"/>
    </row>
    <row r="116" spans="1:19" ht="14.25" customHeight="1">
      <c r="A116" s="27">
        <v>105</v>
      </c>
      <c r="B116" s="30"/>
      <c r="C116" s="29"/>
      <c r="D116" s="30"/>
      <c r="E116" s="30"/>
      <c r="F116" s="30"/>
      <c r="G116" s="31"/>
      <c r="H116" s="35"/>
      <c r="I116" s="33"/>
      <c r="J116" s="33"/>
      <c r="K116" s="33"/>
      <c r="L116" s="33"/>
      <c r="M116" s="34"/>
      <c r="N116" s="21"/>
      <c r="O116" s="30"/>
      <c r="P116" s="30"/>
      <c r="Q116" s="30"/>
      <c r="R116" s="30"/>
      <c r="S116" s="31"/>
    </row>
    <row r="117" spans="1:19" ht="14.25" customHeight="1">
      <c r="A117" s="27">
        <v>106</v>
      </c>
      <c r="B117" s="30"/>
      <c r="C117" s="29"/>
      <c r="D117" s="30"/>
      <c r="E117" s="30"/>
      <c r="F117" s="30"/>
      <c r="G117" s="31"/>
      <c r="H117" s="35"/>
      <c r="I117" s="33"/>
      <c r="J117" s="33"/>
      <c r="K117" s="33"/>
      <c r="L117" s="33"/>
      <c r="M117" s="34"/>
      <c r="N117" s="21"/>
      <c r="O117" s="30"/>
      <c r="P117" s="30"/>
      <c r="Q117" s="30"/>
      <c r="R117" s="30"/>
      <c r="S117" s="31"/>
    </row>
    <row r="118" spans="1:19" ht="14.25" customHeight="1">
      <c r="A118" s="27">
        <v>107</v>
      </c>
      <c r="B118" s="30"/>
      <c r="C118" s="29"/>
      <c r="D118" s="30"/>
      <c r="E118" s="30"/>
      <c r="F118" s="30"/>
      <c r="G118" s="31"/>
      <c r="H118" s="35"/>
      <c r="I118" s="33"/>
      <c r="J118" s="33"/>
      <c r="K118" s="33"/>
      <c r="L118" s="33"/>
      <c r="M118" s="34"/>
      <c r="N118" s="21"/>
      <c r="O118" s="30"/>
      <c r="P118" s="30"/>
      <c r="Q118" s="30"/>
      <c r="R118" s="30"/>
      <c r="S118" s="31"/>
    </row>
    <row r="119" spans="1:19" ht="14.25" customHeight="1">
      <c r="A119" s="27">
        <v>108</v>
      </c>
      <c r="B119" s="30"/>
      <c r="C119" s="29"/>
      <c r="D119" s="30"/>
      <c r="E119" s="30"/>
      <c r="F119" s="30"/>
      <c r="G119" s="31"/>
      <c r="H119" s="35"/>
      <c r="I119" s="33"/>
      <c r="J119" s="33"/>
      <c r="K119" s="33"/>
      <c r="L119" s="33"/>
      <c r="M119" s="34"/>
      <c r="N119" s="21"/>
      <c r="O119" s="30"/>
      <c r="P119" s="30"/>
      <c r="Q119" s="30"/>
      <c r="R119" s="30"/>
      <c r="S119" s="31"/>
    </row>
    <row r="120" spans="1:19" ht="14.25" customHeight="1">
      <c r="A120" s="27">
        <v>109</v>
      </c>
      <c r="B120" s="30"/>
      <c r="C120" s="29"/>
      <c r="D120" s="30"/>
      <c r="E120" s="30"/>
      <c r="F120" s="30"/>
      <c r="G120" s="31"/>
      <c r="H120" s="35"/>
      <c r="I120" s="33"/>
      <c r="J120" s="33"/>
      <c r="K120" s="33"/>
      <c r="L120" s="33"/>
      <c r="M120" s="34"/>
      <c r="N120" s="21"/>
      <c r="O120" s="30"/>
      <c r="P120" s="30"/>
      <c r="Q120" s="30"/>
      <c r="R120" s="30"/>
      <c r="S120" s="31"/>
    </row>
    <row r="121" spans="1:19" ht="14.25" customHeight="1">
      <c r="A121" s="27">
        <v>110</v>
      </c>
      <c r="B121" s="30"/>
      <c r="C121" s="29"/>
      <c r="D121" s="30"/>
      <c r="E121" s="30"/>
      <c r="F121" s="30"/>
      <c r="G121" s="31"/>
      <c r="H121" s="35"/>
      <c r="I121" s="33"/>
      <c r="J121" s="33"/>
      <c r="K121" s="33"/>
      <c r="L121" s="33"/>
      <c r="M121" s="34"/>
      <c r="N121" s="21"/>
      <c r="O121" s="30"/>
      <c r="P121" s="30"/>
      <c r="Q121" s="30"/>
      <c r="R121" s="30"/>
      <c r="S121" s="31"/>
    </row>
    <row r="122" spans="1:19" ht="14.25" customHeight="1">
      <c r="A122" s="27">
        <v>111</v>
      </c>
      <c r="B122" s="30"/>
      <c r="C122" s="29"/>
      <c r="D122" s="30"/>
      <c r="E122" s="30"/>
      <c r="F122" s="30"/>
      <c r="G122" s="31"/>
      <c r="H122" s="35"/>
      <c r="I122" s="33"/>
      <c r="J122" s="33"/>
      <c r="K122" s="33"/>
      <c r="L122" s="33"/>
      <c r="M122" s="34"/>
      <c r="N122" s="21"/>
      <c r="O122" s="30"/>
      <c r="P122" s="30"/>
      <c r="Q122" s="30"/>
      <c r="R122" s="30"/>
      <c r="S122" s="31"/>
    </row>
    <row r="123" spans="1:19" ht="14.25" customHeight="1">
      <c r="A123" s="27">
        <v>112</v>
      </c>
      <c r="B123" s="30"/>
      <c r="C123" s="29"/>
      <c r="D123" s="30"/>
      <c r="E123" s="30"/>
      <c r="F123" s="30"/>
      <c r="G123" s="31"/>
      <c r="H123" s="35"/>
      <c r="I123" s="33"/>
      <c r="J123" s="33"/>
      <c r="K123" s="33"/>
      <c r="L123" s="33"/>
      <c r="M123" s="34"/>
      <c r="N123" s="21"/>
      <c r="O123" s="30"/>
      <c r="P123" s="30"/>
      <c r="Q123" s="30"/>
      <c r="R123" s="30"/>
      <c r="S123" s="31"/>
    </row>
    <row r="124" spans="1:19" ht="14.25" customHeight="1">
      <c r="A124" s="27">
        <v>113</v>
      </c>
      <c r="B124" s="30"/>
      <c r="C124" s="29"/>
      <c r="D124" s="30"/>
      <c r="E124" s="30"/>
      <c r="F124" s="30"/>
      <c r="G124" s="31"/>
      <c r="H124" s="35"/>
      <c r="I124" s="33"/>
      <c r="J124" s="33"/>
      <c r="K124" s="33"/>
      <c r="L124" s="33"/>
      <c r="M124" s="34"/>
      <c r="N124" s="21"/>
      <c r="O124" s="30"/>
      <c r="P124" s="30"/>
      <c r="Q124" s="30"/>
      <c r="R124" s="30"/>
      <c r="S124" s="31"/>
    </row>
    <row r="125" spans="1:19" ht="14.25" customHeight="1">
      <c r="A125" s="27">
        <v>114</v>
      </c>
      <c r="B125" s="30"/>
      <c r="C125" s="29"/>
      <c r="D125" s="30"/>
      <c r="E125" s="30"/>
      <c r="F125" s="30"/>
      <c r="G125" s="31"/>
      <c r="H125" s="35"/>
      <c r="I125" s="33"/>
      <c r="J125" s="33"/>
      <c r="K125" s="33"/>
      <c r="L125" s="33"/>
      <c r="M125" s="34"/>
      <c r="N125" s="21"/>
      <c r="O125" s="30"/>
      <c r="P125" s="30"/>
      <c r="Q125" s="30"/>
      <c r="R125" s="30"/>
      <c r="S125" s="31"/>
    </row>
    <row r="126" spans="1:19" ht="14.25" customHeight="1">
      <c r="A126" s="27">
        <v>115</v>
      </c>
      <c r="B126" s="30"/>
      <c r="C126" s="29"/>
      <c r="D126" s="30"/>
      <c r="E126" s="30"/>
      <c r="F126" s="30"/>
      <c r="G126" s="31"/>
      <c r="H126" s="35"/>
      <c r="I126" s="33"/>
      <c r="J126" s="33"/>
      <c r="K126" s="33"/>
      <c r="L126" s="33"/>
      <c r="M126" s="34"/>
      <c r="N126" s="21"/>
      <c r="O126" s="30"/>
      <c r="P126" s="30"/>
      <c r="Q126" s="30"/>
      <c r="R126" s="30"/>
      <c r="S126" s="31"/>
    </row>
    <row r="127" spans="1:19" ht="14.25" customHeight="1">
      <c r="A127" s="27">
        <v>116</v>
      </c>
      <c r="B127" s="30"/>
      <c r="C127" s="29"/>
      <c r="D127" s="30"/>
      <c r="E127" s="30"/>
      <c r="F127" s="30"/>
      <c r="G127" s="31"/>
      <c r="H127" s="35"/>
      <c r="I127" s="33"/>
      <c r="J127" s="33"/>
      <c r="K127" s="33"/>
      <c r="L127" s="33"/>
      <c r="M127" s="34"/>
      <c r="N127" s="21"/>
      <c r="O127" s="30"/>
      <c r="P127" s="30"/>
      <c r="Q127" s="30"/>
      <c r="R127" s="30"/>
      <c r="S127" s="31"/>
    </row>
    <row r="128" spans="1:19" ht="14.25" customHeight="1">
      <c r="A128" s="27">
        <v>117</v>
      </c>
      <c r="B128" s="30"/>
      <c r="C128" s="29"/>
      <c r="D128" s="30"/>
      <c r="E128" s="30"/>
      <c r="F128" s="30"/>
      <c r="G128" s="31"/>
      <c r="H128" s="35"/>
      <c r="I128" s="33"/>
      <c r="J128" s="33"/>
      <c r="K128" s="33"/>
      <c r="L128" s="33"/>
      <c r="M128" s="34"/>
      <c r="N128" s="21"/>
      <c r="O128" s="30"/>
      <c r="P128" s="30"/>
      <c r="Q128" s="30"/>
      <c r="R128" s="30"/>
      <c r="S128" s="31"/>
    </row>
    <row r="129" spans="1:19" ht="14.25" customHeight="1">
      <c r="A129" s="27">
        <v>118</v>
      </c>
      <c r="B129" s="30"/>
      <c r="C129" s="29"/>
      <c r="D129" s="30"/>
      <c r="E129" s="30"/>
      <c r="F129" s="30"/>
      <c r="G129" s="31"/>
      <c r="H129" s="35"/>
      <c r="I129" s="33"/>
      <c r="J129" s="33"/>
      <c r="K129" s="33"/>
      <c r="L129" s="33"/>
      <c r="M129" s="34"/>
      <c r="N129" s="21"/>
      <c r="O129" s="30"/>
      <c r="P129" s="30"/>
      <c r="Q129" s="30"/>
      <c r="R129" s="30"/>
      <c r="S129" s="31"/>
    </row>
    <row r="130" spans="1:19" ht="14.25" customHeight="1">
      <c r="A130" s="27">
        <v>119</v>
      </c>
      <c r="B130" s="30"/>
      <c r="C130" s="29"/>
      <c r="D130" s="30"/>
      <c r="E130" s="30"/>
      <c r="F130" s="30"/>
      <c r="G130" s="31"/>
      <c r="H130" s="35"/>
      <c r="I130" s="33"/>
      <c r="J130" s="33"/>
      <c r="K130" s="33"/>
      <c r="L130" s="33"/>
      <c r="M130" s="34"/>
      <c r="N130" s="21"/>
      <c r="O130" s="30"/>
      <c r="P130" s="30"/>
      <c r="Q130" s="30"/>
      <c r="R130" s="30"/>
      <c r="S130" s="31"/>
    </row>
    <row r="131" spans="1:19" ht="14.25" customHeight="1">
      <c r="A131" s="27">
        <v>120</v>
      </c>
      <c r="B131" s="30"/>
      <c r="C131" s="29"/>
      <c r="D131" s="30"/>
      <c r="E131" s="30"/>
      <c r="F131" s="30"/>
      <c r="G131" s="31"/>
      <c r="H131" s="35"/>
      <c r="I131" s="33"/>
      <c r="J131" s="33"/>
      <c r="K131" s="33"/>
      <c r="L131" s="33"/>
      <c r="M131" s="34"/>
      <c r="N131" s="21"/>
      <c r="O131" s="30"/>
      <c r="P131" s="30"/>
      <c r="Q131" s="30"/>
      <c r="R131" s="30"/>
      <c r="S131" s="31"/>
    </row>
    <row r="132" spans="1:19" ht="14.25" customHeight="1">
      <c r="A132" s="27">
        <v>121</v>
      </c>
      <c r="B132" s="30"/>
      <c r="C132" s="29"/>
      <c r="D132" s="30"/>
      <c r="E132" s="30"/>
      <c r="F132" s="30"/>
      <c r="G132" s="31"/>
      <c r="H132" s="35"/>
      <c r="I132" s="33"/>
      <c r="J132" s="33"/>
      <c r="K132" s="33"/>
      <c r="L132" s="33"/>
      <c r="M132" s="34"/>
      <c r="N132" s="21"/>
      <c r="O132" s="30"/>
      <c r="P132" s="30"/>
      <c r="Q132" s="30"/>
      <c r="R132" s="30"/>
      <c r="S132" s="31"/>
    </row>
    <row r="133" spans="1:19" ht="14.25" customHeight="1">
      <c r="A133" s="27">
        <v>122</v>
      </c>
      <c r="B133" s="30"/>
      <c r="C133" s="29"/>
      <c r="D133" s="30"/>
      <c r="E133" s="30"/>
      <c r="F133" s="30"/>
      <c r="G133" s="31"/>
      <c r="H133" s="35"/>
      <c r="I133" s="33"/>
      <c r="J133" s="33"/>
      <c r="K133" s="33"/>
      <c r="L133" s="33"/>
      <c r="M133" s="34"/>
      <c r="N133" s="21"/>
      <c r="O133" s="30"/>
      <c r="P133" s="30"/>
      <c r="Q133" s="30"/>
      <c r="R133" s="30"/>
      <c r="S133" s="31"/>
    </row>
    <row r="134" spans="1:19" ht="14.25" customHeight="1">
      <c r="A134" s="27">
        <v>123</v>
      </c>
      <c r="B134" s="30"/>
      <c r="C134" s="29"/>
      <c r="D134" s="30"/>
      <c r="E134" s="30"/>
      <c r="F134" s="30"/>
      <c r="G134" s="31"/>
      <c r="H134" s="35"/>
      <c r="I134" s="33"/>
      <c r="J134" s="33"/>
      <c r="K134" s="33"/>
      <c r="L134" s="33"/>
      <c r="M134" s="34"/>
      <c r="N134" s="21"/>
      <c r="O134" s="30"/>
      <c r="P134" s="30"/>
      <c r="Q134" s="30"/>
      <c r="R134" s="30"/>
      <c r="S134" s="31"/>
    </row>
    <row r="135" spans="1:19" ht="14.25" customHeight="1">
      <c r="A135" s="27">
        <v>124</v>
      </c>
      <c r="B135" s="30"/>
      <c r="C135" s="29"/>
      <c r="D135" s="30"/>
      <c r="E135" s="30"/>
      <c r="F135" s="30"/>
      <c r="G135" s="31"/>
      <c r="H135" s="35"/>
      <c r="I135" s="33"/>
      <c r="J135" s="33"/>
      <c r="K135" s="33"/>
      <c r="L135" s="33"/>
      <c r="M135" s="34"/>
      <c r="N135" s="21"/>
      <c r="O135" s="30"/>
      <c r="P135" s="30"/>
      <c r="Q135" s="30"/>
      <c r="R135" s="30"/>
      <c r="S135" s="31"/>
    </row>
    <row r="136" spans="1:19" ht="14.25" customHeight="1">
      <c r="A136" s="27">
        <v>125</v>
      </c>
      <c r="B136" s="30"/>
      <c r="C136" s="29"/>
      <c r="D136" s="30"/>
      <c r="E136" s="30"/>
      <c r="F136" s="30"/>
      <c r="G136" s="31"/>
      <c r="H136" s="35"/>
      <c r="I136" s="33"/>
      <c r="J136" s="33"/>
      <c r="K136" s="33"/>
      <c r="L136" s="33"/>
      <c r="M136" s="34"/>
      <c r="N136" s="21"/>
      <c r="O136" s="30"/>
      <c r="P136" s="30"/>
      <c r="Q136" s="30"/>
      <c r="R136" s="30"/>
      <c r="S136" s="31"/>
    </row>
    <row r="137" spans="1:19" ht="14.25" customHeight="1">
      <c r="A137" s="27">
        <v>126</v>
      </c>
      <c r="B137" s="30"/>
      <c r="C137" s="29"/>
      <c r="D137" s="30"/>
      <c r="E137" s="30"/>
      <c r="F137" s="30"/>
      <c r="G137" s="31"/>
      <c r="H137" s="35"/>
      <c r="I137" s="33"/>
      <c r="J137" s="33"/>
      <c r="K137" s="33"/>
      <c r="L137" s="33"/>
      <c r="M137" s="34"/>
      <c r="N137" s="21"/>
      <c r="O137" s="30"/>
      <c r="P137" s="30"/>
      <c r="Q137" s="30"/>
      <c r="R137" s="30"/>
      <c r="S137" s="31"/>
    </row>
    <row r="138" spans="1:19" ht="14.25" customHeight="1">
      <c r="A138" s="27">
        <v>127</v>
      </c>
      <c r="B138" s="30"/>
      <c r="C138" s="29"/>
      <c r="D138" s="30"/>
      <c r="E138" s="30"/>
      <c r="F138" s="30"/>
      <c r="G138" s="31"/>
      <c r="H138" s="35"/>
      <c r="I138" s="33"/>
      <c r="J138" s="33"/>
      <c r="K138" s="33"/>
      <c r="L138" s="33"/>
      <c r="M138" s="34"/>
      <c r="N138" s="21"/>
      <c r="O138" s="30"/>
      <c r="P138" s="30"/>
      <c r="Q138" s="30"/>
      <c r="R138" s="30"/>
      <c r="S138" s="31"/>
    </row>
    <row r="139" spans="1:19" ht="14.25" customHeight="1">
      <c r="A139" s="27">
        <v>128</v>
      </c>
      <c r="B139" s="30"/>
      <c r="C139" s="29"/>
      <c r="D139" s="30"/>
      <c r="E139" s="30"/>
      <c r="F139" s="30"/>
      <c r="G139" s="31"/>
      <c r="H139" s="35"/>
      <c r="I139" s="33"/>
      <c r="J139" s="33"/>
      <c r="K139" s="33"/>
      <c r="L139" s="33"/>
      <c r="M139" s="34"/>
      <c r="N139" s="21"/>
      <c r="O139" s="30"/>
      <c r="P139" s="30"/>
      <c r="Q139" s="30"/>
      <c r="R139" s="30"/>
      <c r="S139" s="31"/>
    </row>
    <row r="140" spans="1:19" ht="14.25" customHeight="1">
      <c r="A140" s="27">
        <v>129</v>
      </c>
      <c r="B140" s="30"/>
      <c r="C140" s="29"/>
      <c r="D140" s="30"/>
      <c r="E140" s="30"/>
      <c r="F140" s="30"/>
      <c r="G140" s="31"/>
      <c r="H140" s="35"/>
      <c r="I140" s="33"/>
      <c r="J140" s="33"/>
      <c r="K140" s="33"/>
      <c r="L140" s="33"/>
      <c r="M140" s="34"/>
      <c r="N140" s="21"/>
      <c r="O140" s="30"/>
      <c r="P140" s="30"/>
      <c r="Q140" s="30"/>
      <c r="R140" s="30"/>
      <c r="S140" s="31"/>
    </row>
    <row r="141" spans="1:19" ht="14.25" customHeight="1">
      <c r="A141" s="27">
        <v>130</v>
      </c>
      <c r="B141" s="30"/>
      <c r="C141" s="29"/>
      <c r="D141" s="30"/>
      <c r="E141" s="30"/>
      <c r="F141" s="30"/>
      <c r="G141" s="31"/>
      <c r="H141" s="35"/>
      <c r="I141" s="33"/>
      <c r="J141" s="33"/>
      <c r="K141" s="33"/>
      <c r="L141" s="33"/>
      <c r="M141" s="34"/>
      <c r="N141" s="21"/>
      <c r="O141" s="30"/>
      <c r="P141" s="30"/>
      <c r="Q141" s="30"/>
      <c r="R141" s="30"/>
      <c r="S141" s="31"/>
    </row>
    <row r="142" spans="1:19" ht="14.25" customHeight="1">
      <c r="A142" s="27">
        <v>131</v>
      </c>
      <c r="B142" s="30"/>
      <c r="C142" s="29"/>
      <c r="D142" s="30"/>
      <c r="E142" s="30"/>
      <c r="F142" s="30"/>
      <c r="G142" s="31"/>
      <c r="H142" s="35"/>
      <c r="I142" s="33"/>
      <c r="J142" s="33"/>
      <c r="K142" s="33"/>
      <c r="L142" s="33"/>
      <c r="M142" s="34"/>
      <c r="N142" s="21"/>
      <c r="O142" s="30"/>
      <c r="P142" s="30"/>
      <c r="Q142" s="30"/>
      <c r="R142" s="30"/>
      <c r="S142" s="31"/>
    </row>
    <row r="143" spans="1:19" ht="14.25" customHeight="1">
      <c r="A143" s="27">
        <v>132</v>
      </c>
      <c r="B143" s="30"/>
      <c r="C143" s="29"/>
      <c r="D143" s="30"/>
      <c r="E143" s="30"/>
      <c r="F143" s="30"/>
      <c r="G143" s="31"/>
      <c r="H143" s="35"/>
      <c r="I143" s="33"/>
      <c r="J143" s="33"/>
      <c r="K143" s="33"/>
      <c r="L143" s="33"/>
      <c r="M143" s="34"/>
      <c r="N143" s="21"/>
      <c r="O143" s="30"/>
      <c r="P143" s="30"/>
      <c r="Q143" s="30"/>
      <c r="R143" s="30"/>
      <c r="S143" s="31"/>
    </row>
    <row r="144" spans="1:19" ht="14.25" customHeight="1">
      <c r="A144" s="27">
        <v>133</v>
      </c>
      <c r="B144" s="30"/>
      <c r="C144" s="29"/>
      <c r="D144" s="30"/>
      <c r="E144" s="30"/>
      <c r="F144" s="30"/>
      <c r="G144" s="31"/>
      <c r="H144" s="35"/>
      <c r="I144" s="33"/>
      <c r="J144" s="33"/>
      <c r="K144" s="33"/>
      <c r="L144" s="33"/>
      <c r="M144" s="34"/>
      <c r="N144" s="21"/>
      <c r="O144" s="30"/>
      <c r="P144" s="30"/>
      <c r="Q144" s="30"/>
      <c r="R144" s="30"/>
      <c r="S144" s="31"/>
    </row>
    <row r="145" spans="1:21" ht="14.25" customHeight="1">
      <c r="A145" s="27">
        <v>134</v>
      </c>
      <c r="B145" s="30"/>
      <c r="C145" s="29"/>
      <c r="D145" s="30"/>
      <c r="E145" s="30"/>
      <c r="F145" s="30"/>
      <c r="G145" s="31"/>
      <c r="H145" s="35"/>
      <c r="I145" s="33"/>
      <c r="J145" s="33"/>
      <c r="K145" s="33"/>
      <c r="L145" s="33"/>
      <c r="M145" s="34"/>
      <c r="N145" s="21"/>
      <c r="O145" s="30"/>
      <c r="P145" s="30"/>
      <c r="Q145" s="30"/>
      <c r="R145" s="30"/>
      <c r="S145" s="31"/>
    </row>
    <row r="146" spans="1:21" ht="14.25" customHeight="1">
      <c r="A146" s="27"/>
      <c r="B146" s="30"/>
      <c r="C146" s="29"/>
      <c r="D146" s="30"/>
      <c r="E146" s="30"/>
      <c r="F146" s="30"/>
      <c r="G146" s="31"/>
      <c r="H146" s="35"/>
      <c r="I146" s="33"/>
      <c r="J146" s="33"/>
      <c r="K146" s="33"/>
      <c r="L146" s="33"/>
      <c r="M146" s="34"/>
      <c r="N146" s="21"/>
      <c r="O146" s="30"/>
      <c r="P146" s="30"/>
      <c r="Q146" s="30"/>
      <c r="R146" s="30"/>
      <c r="S146" s="31"/>
    </row>
    <row r="147" spans="1:21" ht="14.25" customHeight="1">
      <c r="A147" s="27"/>
      <c r="B147" s="30"/>
      <c r="C147" s="29"/>
      <c r="D147" s="30"/>
      <c r="E147" s="30"/>
      <c r="F147" s="30"/>
      <c r="G147" s="31"/>
      <c r="H147" s="35"/>
      <c r="I147" s="33"/>
      <c r="J147" s="33"/>
      <c r="K147" s="33"/>
      <c r="L147" s="33"/>
      <c r="M147" s="34"/>
      <c r="N147" s="21"/>
      <c r="O147" s="30"/>
      <c r="P147" s="30"/>
      <c r="Q147" s="30"/>
      <c r="R147" s="30"/>
      <c r="S147" s="31"/>
    </row>
    <row r="148" spans="1:21" ht="14.25" customHeight="1">
      <c r="A148" s="27"/>
      <c r="B148" s="30" t="s">
        <v>32</v>
      </c>
      <c r="C148" s="42">
        <f>COUNT(C12:C147)</f>
        <v>0</v>
      </c>
      <c r="D148" s="43">
        <f t="shared" ref="D148:G148" si="0">COUNT(D12:D145)</f>
        <v>5</v>
      </c>
      <c r="E148" s="30">
        <f t="shared" si="0"/>
        <v>14</v>
      </c>
      <c r="F148" s="30">
        <f t="shared" si="0"/>
        <v>19</v>
      </c>
      <c r="G148" s="31">
        <f t="shared" si="0"/>
        <v>96</v>
      </c>
      <c r="H148" s="35"/>
      <c r="I148" s="44">
        <f t="shared" ref="I148:M148" si="1">COUNT(I12:I145)</f>
        <v>0</v>
      </c>
      <c r="J148" s="44">
        <f t="shared" si="1"/>
        <v>3</v>
      </c>
      <c r="K148" s="44">
        <f t="shared" si="1"/>
        <v>10</v>
      </c>
      <c r="L148" s="44">
        <f t="shared" si="1"/>
        <v>10</v>
      </c>
      <c r="M148" s="45">
        <f t="shared" si="1"/>
        <v>74</v>
      </c>
      <c r="N148" s="21"/>
      <c r="O148" s="43">
        <f t="shared" ref="O148:S148" si="2">COUNT(O12:O145)</f>
        <v>0</v>
      </c>
      <c r="P148" s="43">
        <f t="shared" si="2"/>
        <v>3</v>
      </c>
      <c r="Q148" s="43">
        <f t="shared" si="2"/>
        <v>5</v>
      </c>
      <c r="R148" s="43">
        <f t="shared" si="2"/>
        <v>8</v>
      </c>
      <c r="S148" s="46">
        <f t="shared" si="2"/>
        <v>22</v>
      </c>
    </row>
    <row r="149" spans="1:21" ht="14.25" customHeight="1" thickBot="1">
      <c r="A149" s="27"/>
      <c r="B149" s="30" t="s">
        <v>33</v>
      </c>
      <c r="C149" s="47">
        <f>C148+D148+E148+F148+G148</f>
        <v>134</v>
      </c>
      <c r="D149" s="48"/>
      <c r="E149" s="48"/>
      <c r="F149" s="48"/>
      <c r="G149" s="49"/>
      <c r="H149" s="35"/>
      <c r="I149" s="50">
        <f>I148+J148+K148+L148+M148</f>
        <v>97</v>
      </c>
      <c r="J149" s="48"/>
      <c r="K149" s="48"/>
      <c r="L149" s="48"/>
      <c r="M149" s="49"/>
      <c r="N149" s="21"/>
      <c r="O149" s="47">
        <f>O148+P148+Q148+R148+S148</f>
        <v>38</v>
      </c>
      <c r="P149" s="48"/>
      <c r="Q149" s="48"/>
      <c r="R149" s="48"/>
      <c r="S149" s="49"/>
    </row>
    <row r="150" spans="1:21" ht="14.25" customHeight="1">
      <c r="A150" s="27"/>
      <c r="B150" s="30" t="s">
        <v>34</v>
      </c>
      <c r="C150" s="42">
        <f>SUM(C12:C147)</f>
        <v>0</v>
      </c>
      <c r="D150" s="43">
        <f t="shared" ref="D150:G150" si="3">SUM(D12:D145)</f>
        <v>91.3</v>
      </c>
      <c r="E150" s="30">
        <f t="shared" si="3"/>
        <v>250.1</v>
      </c>
      <c r="F150" s="30">
        <f t="shared" si="3"/>
        <v>343.29999999999995</v>
      </c>
      <c r="G150" s="31">
        <f t="shared" si="3"/>
        <v>1788.5999999999995</v>
      </c>
      <c r="H150" s="35"/>
      <c r="I150" s="44">
        <f t="shared" ref="I150:M150" si="4">SUM(I12:I145)</f>
        <v>0</v>
      </c>
      <c r="J150" s="44">
        <f t="shared" si="4"/>
        <v>51.5</v>
      </c>
      <c r="K150" s="33">
        <f t="shared" si="4"/>
        <v>164.2</v>
      </c>
      <c r="L150" s="33">
        <f t="shared" si="4"/>
        <v>180.20000000000002</v>
      </c>
      <c r="M150" s="34">
        <f t="shared" si="4"/>
        <v>1372.4000000000005</v>
      </c>
      <c r="N150" s="21"/>
      <c r="O150" s="43">
        <f t="shared" ref="O150:S150" si="5">SUM(O12:O145)</f>
        <v>0</v>
      </c>
      <c r="P150" s="43">
        <f t="shared" si="5"/>
        <v>42</v>
      </c>
      <c r="Q150" s="30">
        <f t="shared" si="5"/>
        <v>94.6</v>
      </c>
      <c r="R150" s="30">
        <f t="shared" si="5"/>
        <v>143.80000000000001</v>
      </c>
      <c r="S150" s="31">
        <f t="shared" si="5"/>
        <v>415.5</v>
      </c>
    </row>
    <row r="151" spans="1:21" ht="14.25" customHeight="1">
      <c r="A151" s="27"/>
      <c r="B151" s="30" t="s">
        <v>27</v>
      </c>
      <c r="C151" s="42">
        <f t="shared" ref="C151:G151" si="6">C150-(C148*$L$6)</f>
        <v>0</v>
      </c>
      <c r="D151" s="43">
        <f t="shared" si="6"/>
        <v>82.8</v>
      </c>
      <c r="E151" s="30">
        <f t="shared" si="6"/>
        <v>226.29999999999998</v>
      </c>
      <c r="F151" s="30">
        <f t="shared" si="6"/>
        <v>310.99999999999994</v>
      </c>
      <c r="G151" s="31">
        <f t="shared" si="6"/>
        <v>1625.3999999999994</v>
      </c>
      <c r="H151" s="35"/>
      <c r="I151" s="44">
        <f t="shared" ref="I151:M151" si="7">I150-(I148*$L$6)</f>
        <v>0</v>
      </c>
      <c r="J151" s="44">
        <f t="shared" si="7"/>
        <v>46.4</v>
      </c>
      <c r="K151" s="33">
        <f t="shared" si="7"/>
        <v>147.19999999999999</v>
      </c>
      <c r="L151" s="33">
        <f t="shared" si="7"/>
        <v>163.20000000000002</v>
      </c>
      <c r="M151" s="34">
        <f t="shared" si="7"/>
        <v>1246.6000000000006</v>
      </c>
      <c r="N151" s="21"/>
      <c r="O151" s="43">
        <f t="shared" ref="O151:S151" si="8">O150-(O148*$L$6)</f>
        <v>0</v>
      </c>
      <c r="P151" s="43">
        <f t="shared" si="8"/>
        <v>36.9</v>
      </c>
      <c r="Q151" s="30">
        <f t="shared" si="8"/>
        <v>86.1</v>
      </c>
      <c r="R151" s="30">
        <f t="shared" si="8"/>
        <v>130.20000000000002</v>
      </c>
      <c r="S151" s="31">
        <f t="shared" si="8"/>
        <v>378.1</v>
      </c>
      <c r="T151" s="51" t="s">
        <v>35</v>
      </c>
    </row>
    <row r="152" spans="1:21" ht="14.25" customHeight="1" thickBot="1">
      <c r="A152" s="27"/>
      <c r="B152" s="30" t="s">
        <v>36</v>
      </c>
      <c r="C152" s="52">
        <f>C151+D151+E151+F151+G151</f>
        <v>2245.4999999999991</v>
      </c>
      <c r="D152" s="48"/>
      <c r="E152" s="48"/>
      <c r="F152" s="48"/>
      <c r="G152" s="49"/>
      <c r="H152" s="53"/>
      <c r="I152" s="54">
        <f>I151+J151+K151+L151+M151</f>
        <v>1603.4000000000005</v>
      </c>
      <c r="J152" s="48"/>
      <c r="K152" s="48"/>
      <c r="L152" s="48"/>
      <c r="M152" s="49"/>
      <c r="N152" s="55"/>
      <c r="O152" s="56">
        <f>O151+P151+Q151+R151+S151</f>
        <v>631.30000000000007</v>
      </c>
      <c r="P152" s="48"/>
      <c r="Q152" s="48"/>
      <c r="R152" s="48"/>
      <c r="S152" s="49"/>
      <c r="T152" s="57">
        <f>I152+O152</f>
        <v>2234.7000000000007</v>
      </c>
      <c r="U152" s="3"/>
    </row>
    <row r="153" spans="1:21" ht="14.25" customHeight="1">
      <c r="A153" s="6"/>
      <c r="B153" s="7" t="s">
        <v>37</v>
      </c>
      <c r="I153" s="58">
        <f>I152/T152</f>
        <v>0.71750123059023585</v>
      </c>
      <c r="J153" s="3"/>
      <c r="K153" s="3"/>
      <c r="L153" s="3"/>
      <c r="M153" s="3"/>
      <c r="O153" s="58">
        <f>O152/T152</f>
        <v>0.28249876940976409</v>
      </c>
      <c r="P153" s="3"/>
      <c r="Q153" s="3"/>
      <c r="R153" s="3"/>
      <c r="S153" s="3"/>
      <c r="T153" s="59">
        <f>C152-T152</f>
        <v>10.799999999998363</v>
      </c>
    </row>
    <row r="154" spans="1:21" ht="14.25" customHeight="1">
      <c r="A154" s="6"/>
      <c r="K154" s="38">
        <f>I153*(1-U20)</f>
        <v>0.65914887904416697</v>
      </c>
      <c r="L154" s="38"/>
      <c r="M154" s="38"/>
      <c r="N154" s="38"/>
      <c r="O154" s="38"/>
      <c r="P154" s="38"/>
      <c r="Q154" s="38">
        <f>1-K154</f>
        <v>0.34085112095583303</v>
      </c>
      <c r="T154" s="60">
        <f>T153/T152</f>
        <v>4.8328634716061931E-3</v>
      </c>
    </row>
    <row r="155" spans="1:21" ht="14.25" customHeight="1">
      <c r="A155" s="6"/>
    </row>
    <row r="156" spans="1:21" ht="14.25" customHeight="1">
      <c r="A156" s="6"/>
      <c r="I156" s="61">
        <v>45901</v>
      </c>
      <c r="J156" s="7" t="s">
        <v>38</v>
      </c>
      <c r="K156" s="7" t="s">
        <v>39</v>
      </c>
    </row>
    <row r="157" spans="1:21" ht="14.25" customHeight="1">
      <c r="A157" s="6"/>
      <c r="I157" s="7" t="s">
        <v>23</v>
      </c>
      <c r="J157" s="7">
        <v>797.2</v>
      </c>
      <c r="K157" s="7">
        <f>J157-(1.7*41)</f>
        <v>727.5</v>
      </c>
    </row>
    <row r="158" spans="1:21" ht="14.25" customHeight="1">
      <c r="A158" s="6"/>
      <c r="I158" s="7" t="s">
        <v>31</v>
      </c>
      <c r="J158" s="7">
        <v>971.1</v>
      </c>
      <c r="K158" s="62">
        <f>J158-(1.7*56)</f>
        <v>875.9</v>
      </c>
    </row>
    <row r="159" spans="1:21" ht="14.25" customHeight="1">
      <c r="A159" s="6"/>
      <c r="K159" s="7">
        <f>K157+K158</f>
        <v>1603.4</v>
      </c>
      <c r="L159" s="63" t="s">
        <v>40</v>
      </c>
    </row>
    <row r="160" spans="1:21" ht="14.25" customHeight="1">
      <c r="A160" s="6"/>
    </row>
    <row r="161" spans="1:1" ht="14.25" customHeight="1">
      <c r="A161" s="6"/>
    </row>
    <row r="162" spans="1:1" ht="14.25" customHeight="1">
      <c r="A162" s="6"/>
    </row>
    <row r="163" spans="1:1" ht="14.25" customHeight="1">
      <c r="A163" s="6"/>
    </row>
    <row r="164" spans="1:1" ht="14.25" customHeight="1">
      <c r="A164" s="6"/>
    </row>
    <row r="165" spans="1:1" ht="14.25" customHeight="1">
      <c r="A165" s="6"/>
    </row>
    <row r="166" spans="1:1" ht="14.25" customHeight="1">
      <c r="A166" s="6"/>
    </row>
    <row r="167" spans="1:1" ht="14.25" customHeight="1">
      <c r="A167" s="6"/>
    </row>
    <row r="168" spans="1:1" ht="14.25" customHeight="1">
      <c r="A168" s="6"/>
    </row>
    <row r="169" spans="1:1" ht="14.25" customHeight="1">
      <c r="A169" s="6"/>
    </row>
    <row r="170" spans="1:1" ht="14.25" customHeight="1">
      <c r="A170" s="6"/>
    </row>
    <row r="171" spans="1:1" ht="14.25" customHeight="1">
      <c r="A171" s="6"/>
    </row>
    <row r="172" spans="1:1" ht="14.25" customHeight="1">
      <c r="A172" s="6"/>
    </row>
    <row r="173" spans="1:1" ht="14.25" customHeight="1">
      <c r="A173" s="6"/>
    </row>
    <row r="174" spans="1:1" ht="14.25" customHeight="1">
      <c r="A174" s="6"/>
    </row>
    <row r="175" spans="1:1" ht="14.25" customHeight="1">
      <c r="A175" s="6"/>
    </row>
    <row r="176" spans="1:1" ht="14.25" customHeight="1">
      <c r="A176" s="6"/>
    </row>
    <row r="177" spans="1:1" ht="14.25" customHeight="1">
      <c r="A177" s="6"/>
    </row>
    <row r="178" spans="1:1" ht="14.25" customHeight="1">
      <c r="A178" s="6"/>
    </row>
    <row r="179" spans="1:1" ht="14.25" customHeight="1">
      <c r="A179" s="6"/>
    </row>
    <row r="180" spans="1:1" ht="14.25" customHeight="1">
      <c r="A180" s="6"/>
    </row>
    <row r="181" spans="1:1" ht="14.25" customHeight="1">
      <c r="A181" s="6"/>
    </row>
    <row r="182" spans="1:1" ht="14.25" customHeight="1">
      <c r="A182" s="6"/>
    </row>
    <row r="183" spans="1:1" ht="14.25" customHeight="1">
      <c r="A183" s="6"/>
    </row>
    <row r="184" spans="1:1" ht="14.25" customHeight="1">
      <c r="A184" s="6"/>
    </row>
    <row r="185" spans="1:1" ht="14.25" customHeight="1">
      <c r="A185" s="6"/>
    </row>
    <row r="186" spans="1:1" ht="14.25" customHeight="1">
      <c r="A186" s="6"/>
    </row>
    <row r="187" spans="1:1" ht="14.25" customHeight="1">
      <c r="A187" s="6"/>
    </row>
    <row r="188" spans="1:1" ht="14.25" customHeight="1">
      <c r="A188" s="6"/>
    </row>
    <row r="189" spans="1:1" ht="14.25" customHeight="1">
      <c r="A189" s="6"/>
    </row>
    <row r="190" spans="1:1" ht="14.25" customHeight="1">
      <c r="A190" s="6"/>
    </row>
    <row r="191" spans="1:1" ht="14.25" customHeight="1">
      <c r="A191" s="6"/>
    </row>
    <row r="192" spans="1:1" ht="14.25" customHeight="1">
      <c r="A192" s="6"/>
    </row>
    <row r="193" spans="1:1" ht="14.25" customHeight="1">
      <c r="A193" s="6"/>
    </row>
    <row r="194" spans="1:1" ht="14.25" customHeight="1">
      <c r="A194" s="6"/>
    </row>
    <row r="195" spans="1:1" ht="14.25" customHeight="1">
      <c r="A195" s="6"/>
    </row>
    <row r="196" spans="1:1" ht="14.25" customHeight="1">
      <c r="A196" s="6"/>
    </row>
    <row r="197" spans="1:1" ht="14.25" customHeight="1">
      <c r="A197" s="6"/>
    </row>
    <row r="198" spans="1:1" ht="14.25" customHeight="1">
      <c r="A198" s="6"/>
    </row>
    <row r="199" spans="1:1" ht="14.25" customHeight="1">
      <c r="A199" s="6"/>
    </row>
    <row r="200" spans="1:1" ht="14.25" customHeight="1">
      <c r="A200" s="6"/>
    </row>
    <row r="201" spans="1:1" ht="14.25" customHeight="1">
      <c r="A201" s="6"/>
    </row>
    <row r="202" spans="1:1" ht="14.25" customHeight="1">
      <c r="A202" s="6"/>
    </row>
    <row r="203" spans="1:1" ht="14.25" customHeight="1">
      <c r="A203" s="6"/>
    </row>
    <row r="204" spans="1:1" ht="14.25" customHeight="1">
      <c r="A204" s="6"/>
    </row>
    <row r="205" spans="1:1" ht="14.25" customHeight="1">
      <c r="A205" s="6"/>
    </row>
    <row r="206" spans="1:1" ht="14.25" customHeight="1">
      <c r="A206" s="6"/>
    </row>
    <row r="207" spans="1:1" ht="14.25" customHeight="1">
      <c r="A207" s="6"/>
    </row>
    <row r="208" spans="1:1" ht="14.25" customHeight="1">
      <c r="A208" s="6"/>
    </row>
    <row r="209" spans="1:1" ht="14.25" customHeight="1">
      <c r="A209" s="6"/>
    </row>
    <row r="210" spans="1:1" ht="14.25" customHeight="1">
      <c r="A210" s="6"/>
    </row>
    <row r="211" spans="1:1" ht="14.25" customHeight="1">
      <c r="A211" s="6"/>
    </row>
    <row r="212" spans="1:1" ht="14.25" customHeight="1">
      <c r="A212" s="6"/>
    </row>
    <row r="213" spans="1:1" ht="14.25" customHeight="1">
      <c r="A213" s="6"/>
    </row>
    <row r="214" spans="1:1" ht="14.25" customHeight="1">
      <c r="A214" s="6"/>
    </row>
    <row r="215" spans="1:1" ht="14.25" customHeight="1">
      <c r="A215" s="6"/>
    </row>
    <row r="216" spans="1:1" ht="14.25" customHeight="1">
      <c r="A216" s="6"/>
    </row>
    <row r="217" spans="1:1" ht="14.25" customHeight="1">
      <c r="A217" s="6"/>
    </row>
    <row r="218" spans="1:1" ht="14.25" customHeight="1">
      <c r="A218" s="6"/>
    </row>
    <row r="219" spans="1:1" ht="14.25" customHeight="1">
      <c r="A219" s="6"/>
    </row>
    <row r="220" spans="1:1" ht="14.25" customHeight="1">
      <c r="A220" s="6"/>
    </row>
    <row r="221" spans="1:1" ht="14.25" customHeight="1">
      <c r="A221" s="6"/>
    </row>
    <row r="222" spans="1:1" ht="14.25" customHeight="1">
      <c r="A222" s="6"/>
    </row>
    <row r="223" spans="1:1" ht="14.25" customHeight="1">
      <c r="A223" s="6"/>
    </row>
    <row r="224" spans="1:1" ht="14.25" customHeight="1">
      <c r="A224" s="6"/>
    </row>
    <row r="225" spans="1:1" ht="14.25" customHeight="1">
      <c r="A225" s="6"/>
    </row>
    <row r="226" spans="1:1" ht="14.25" customHeight="1">
      <c r="A226" s="6"/>
    </row>
    <row r="227" spans="1:1" ht="14.25" customHeight="1">
      <c r="A227" s="6"/>
    </row>
    <row r="228" spans="1:1" ht="14.25" customHeight="1">
      <c r="A228" s="6"/>
    </row>
    <row r="229" spans="1:1" ht="14.25" customHeight="1">
      <c r="A229" s="6"/>
    </row>
    <row r="230" spans="1:1" ht="14.25" customHeight="1">
      <c r="A230" s="6"/>
    </row>
    <row r="231" spans="1:1" ht="14.25" customHeight="1">
      <c r="A231" s="6"/>
    </row>
    <row r="232" spans="1:1" ht="14.25" customHeight="1">
      <c r="A232" s="6"/>
    </row>
    <row r="233" spans="1:1" ht="14.25" customHeight="1">
      <c r="A233" s="6"/>
    </row>
    <row r="234" spans="1:1" ht="14.25" customHeight="1">
      <c r="A234" s="6"/>
    </row>
    <row r="235" spans="1:1" ht="14.25" customHeight="1">
      <c r="A235" s="6"/>
    </row>
    <row r="236" spans="1:1" ht="14.25" customHeight="1">
      <c r="A236" s="6"/>
    </row>
    <row r="237" spans="1:1" ht="14.25" customHeight="1">
      <c r="A237" s="6"/>
    </row>
    <row r="238" spans="1:1" ht="14.25" customHeight="1">
      <c r="A238" s="6"/>
    </row>
    <row r="239" spans="1:1" ht="14.25" customHeight="1">
      <c r="A239" s="6"/>
    </row>
    <row r="240" spans="1:1" ht="14.25" customHeight="1">
      <c r="A240" s="6"/>
    </row>
    <row r="241" spans="1:1" ht="14.25" customHeight="1">
      <c r="A241" s="6"/>
    </row>
    <row r="242" spans="1:1" ht="14.25" customHeight="1">
      <c r="A242" s="6"/>
    </row>
    <row r="243" spans="1:1" ht="14.25" customHeight="1">
      <c r="A243" s="6"/>
    </row>
    <row r="244" spans="1:1" ht="14.25" customHeight="1">
      <c r="A244" s="6"/>
    </row>
    <row r="245" spans="1:1" ht="14.25" customHeight="1">
      <c r="A245" s="6"/>
    </row>
    <row r="246" spans="1:1" ht="14.25" customHeight="1">
      <c r="A246" s="6"/>
    </row>
    <row r="247" spans="1:1" ht="14.25" customHeight="1">
      <c r="A247" s="6"/>
    </row>
    <row r="248" spans="1:1" ht="14.25" customHeight="1">
      <c r="A248" s="6"/>
    </row>
    <row r="249" spans="1:1" ht="14.25" customHeight="1">
      <c r="A249" s="6"/>
    </row>
    <row r="250" spans="1:1" ht="14.25" customHeight="1">
      <c r="A250" s="6"/>
    </row>
    <row r="251" spans="1:1" ht="14.25" customHeight="1">
      <c r="A251" s="6"/>
    </row>
    <row r="252" spans="1:1" ht="14.25" customHeight="1">
      <c r="A252" s="6"/>
    </row>
    <row r="253" spans="1:1" ht="14.25" customHeight="1">
      <c r="A253" s="6"/>
    </row>
    <row r="254" spans="1:1" ht="14.25" customHeight="1">
      <c r="A254" s="6"/>
    </row>
    <row r="255" spans="1:1" ht="14.25" customHeight="1">
      <c r="A255" s="6"/>
    </row>
    <row r="256" spans="1:1" ht="14.25" customHeight="1">
      <c r="A256" s="6"/>
    </row>
    <row r="257" spans="1:1" ht="14.25" customHeight="1">
      <c r="A257" s="6"/>
    </row>
    <row r="258" spans="1:1" ht="14.25" customHeight="1">
      <c r="A258" s="6"/>
    </row>
    <row r="259" spans="1:1" ht="14.25" customHeight="1">
      <c r="A259" s="6"/>
    </row>
    <row r="260" spans="1:1" ht="14.25" customHeight="1">
      <c r="A260" s="6"/>
    </row>
    <row r="261" spans="1:1" ht="14.25" customHeight="1">
      <c r="A261" s="6"/>
    </row>
    <row r="262" spans="1:1" ht="14.25" customHeight="1">
      <c r="A262" s="6"/>
    </row>
    <row r="263" spans="1:1" ht="14.25" customHeight="1">
      <c r="A263" s="6"/>
    </row>
    <row r="264" spans="1:1" ht="14.25" customHeight="1">
      <c r="A264" s="6"/>
    </row>
    <row r="265" spans="1:1" ht="14.25" customHeight="1">
      <c r="A265" s="6"/>
    </row>
    <row r="266" spans="1:1" ht="14.25" customHeight="1">
      <c r="A266" s="6"/>
    </row>
    <row r="267" spans="1:1" ht="14.25" customHeight="1">
      <c r="A267" s="6"/>
    </row>
    <row r="268" spans="1:1" ht="14.25" customHeight="1">
      <c r="A268" s="6"/>
    </row>
    <row r="269" spans="1:1" ht="14.25" customHeight="1">
      <c r="A269" s="6"/>
    </row>
    <row r="270" spans="1:1" ht="14.25" customHeight="1">
      <c r="A270" s="6"/>
    </row>
    <row r="271" spans="1:1" ht="14.25" customHeight="1">
      <c r="A271" s="6"/>
    </row>
    <row r="272" spans="1:1" ht="14.25" customHeight="1">
      <c r="A272" s="6"/>
    </row>
    <row r="273" spans="1:1" ht="14.25" customHeight="1">
      <c r="A273" s="6"/>
    </row>
    <row r="274" spans="1:1" ht="14.25" customHeight="1">
      <c r="A274" s="6"/>
    </row>
    <row r="275" spans="1:1" ht="14.25" customHeight="1">
      <c r="A275" s="6"/>
    </row>
    <row r="276" spans="1:1" ht="14.25" customHeight="1">
      <c r="A276" s="6"/>
    </row>
    <row r="277" spans="1:1" ht="14.25" customHeight="1">
      <c r="A277" s="6"/>
    </row>
    <row r="278" spans="1:1" ht="14.25" customHeight="1">
      <c r="A278" s="6"/>
    </row>
    <row r="279" spans="1:1" ht="14.25" customHeight="1">
      <c r="A279" s="6"/>
    </row>
    <row r="280" spans="1:1" ht="14.25" customHeight="1">
      <c r="A280" s="6"/>
    </row>
    <row r="281" spans="1:1" ht="14.25" customHeight="1">
      <c r="A281" s="6"/>
    </row>
    <row r="282" spans="1:1" ht="14.25" customHeight="1">
      <c r="A282" s="6"/>
    </row>
    <row r="283" spans="1:1" ht="14.25" customHeight="1">
      <c r="A283" s="6"/>
    </row>
    <row r="284" spans="1:1" ht="14.25" customHeight="1">
      <c r="A284" s="6"/>
    </row>
    <row r="285" spans="1:1" ht="14.25" customHeight="1">
      <c r="A285" s="6"/>
    </row>
    <row r="286" spans="1:1" ht="14.25" customHeight="1">
      <c r="A286" s="6"/>
    </row>
    <row r="287" spans="1:1" ht="14.25" customHeight="1">
      <c r="A287" s="6"/>
    </row>
    <row r="288" spans="1:1" ht="14.25" customHeight="1">
      <c r="A288" s="6"/>
    </row>
    <row r="289" spans="1:1" ht="14.25" customHeight="1">
      <c r="A289" s="6"/>
    </row>
    <row r="290" spans="1:1" ht="14.25" customHeight="1">
      <c r="A290" s="6"/>
    </row>
    <row r="291" spans="1:1" ht="14.25" customHeight="1">
      <c r="A291" s="6"/>
    </row>
    <row r="292" spans="1:1" ht="14.25" customHeight="1">
      <c r="A292" s="6"/>
    </row>
    <row r="293" spans="1:1" ht="14.25" customHeight="1">
      <c r="A293" s="6"/>
    </row>
    <row r="294" spans="1:1" ht="14.25" customHeight="1">
      <c r="A294" s="6"/>
    </row>
    <row r="295" spans="1:1" ht="14.25" customHeight="1">
      <c r="A295" s="6"/>
    </row>
    <row r="296" spans="1:1" ht="14.25" customHeight="1">
      <c r="A296" s="6"/>
    </row>
    <row r="297" spans="1:1" ht="14.25" customHeight="1">
      <c r="A297" s="6"/>
    </row>
    <row r="298" spans="1:1" ht="14.25" customHeight="1">
      <c r="A298" s="6"/>
    </row>
    <row r="299" spans="1:1" ht="14.25" customHeight="1">
      <c r="A299" s="6"/>
    </row>
    <row r="300" spans="1:1" ht="14.25" customHeight="1">
      <c r="A300" s="6"/>
    </row>
    <row r="301" spans="1:1" ht="14.25" customHeight="1">
      <c r="A301" s="6"/>
    </row>
    <row r="302" spans="1:1" ht="14.25" customHeight="1">
      <c r="A302" s="6"/>
    </row>
    <row r="303" spans="1:1" ht="14.25" customHeight="1">
      <c r="A303" s="6"/>
    </row>
    <row r="304" spans="1:1" ht="14.25" customHeight="1">
      <c r="A304" s="6"/>
    </row>
    <row r="305" spans="1:1" ht="14.25" customHeight="1">
      <c r="A305" s="6"/>
    </row>
    <row r="306" spans="1:1" ht="14.25" customHeight="1">
      <c r="A306" s="6"/>
    </row>
    <row r="307" spans="1:1" ht="14.25" customHeight="1">
      <c r="A307" s="6"/>
    </row>
    <row r="308" spans="1:1" ht="14.25" customHeight="1">
      <c r="A308" s="6"/>
    </row>
    <row r="309" spans="1:1" ht="14.25" customHeight="1">
      <c r="A309" s="6"/>
    </row>
    <row r="310" spans="1:1" ht="14.25" customHeight="1">
      <c r="A310" s="6"/>
    </row>
    <row r="311" spans="1:1" ht="14.25" customHeight="1">
      <c r="A311" s="6"/>
    </row>
    <row r="312" spans="1:1" ht="14.25" customHeight="1">
      <c r="A312" s="6"/>
    </row>
    <row r="313" spans="1:1" ht="14.25" customHeight="1">
      <c r="A313" s="6"/>
    </row>
    <row r="314" spans="1:1" ht="14.25" customHeight="1">
      <c r="A314" s="6"/>
    </row>
    <row r="315" spans="1:1" ht="14.25" customHeight="1">
      <c r="A315" s="6"/>
    </row>
    <row r="316" spans="1:1" ht="14.25" customHeight="1">
      <c r="A316" s="6"/>
    </row>
    <row r="317" spans="1:1" ht="14.25" customHeight="1">
      <c r="A317" s="6"/>
    </row>
    <row r="318" spans="1:1" ht="14.25" customHeight="1">
      <c r="A318" s="6"/>
    </row>
    <row r="319" spans="1:1" ht="14.25" customHeight="1">
      <c r="A319" s="6"/>
    </row>
    <row r="320" spans="1:1" ht="14.25" customHeight="1">
      <c r="A320" s="6"/>
    </row>
    <row r="321" spans="1:1" ht="14.25" customHeight="1">
      <c r="A321" s="6"/>
    </row>
    <row r="322" spans="1:1" ht="14.25" customHeight="1">
      <c r="A322" s="6"/>
    </row>
    <row r="323" spans="1:1" ht="14.25" customHeight="1">
      <c r="A323" s="6"/>
    </row>
    <row r="324" spans="1:1" ht="14.25" customHeight="1">
      <c r="A324" s="6"/>
    </row>
    <row r="325" spans="1:1" ht="14.25" customHeight="1">
      <c r="A325" s="6"/>
    </row>
    <row r="326" spans="1:1" ht="14.25" customHeight="1">
      <c r="A326" s="6"/>
    </row>
    <row r="327" spans="1:1" ht="14.25" customHeight="1">
      <c r="A327" s="6"/>
    </row>
    <row r="328" spans="1:1" ht="14.25" customHeight="1">
      <c r="A328" s="6"/>
    </row>
    <row r="329" spans="1:1" ht="14.25" customHeight="1">
      <c r="A329" s="6"/>
    </row>
    <row r="330" spans="1:1" ht="14.25" customHeight="1">
      <c r="A330" s="6"/>
    </row>
    <row r="331" spans="1:1" ht="14.25" customHeight="1">
      <c r="A331" s="6"/>
    </row>
    <row r="332" spans="1:1" ht="14.25" customHeight="1">
      <c r="A332" s="6"/>
    </row>
    <row r="333" spans="1:1" ht="14.25" customHeight="1">
      <c r="A333" s="6"/>
    </row>
    <row r="334" spans="1:1" ht="14.25" customHeight="1">
      <c r="A334" s="6"/>
    </row>
    <row r="335" spans="1:1" ht="14.25" customHeight="1">
      <c r="A335" s="6"/>
    </row>
    <row r="336" spans="1:1" ht="14.25" customHeight="1">
      <c r="A336" s="6"/>
    </row>
    <row r="337" spans="1:1" ht="14.25" customHeight="1">
      <c r="A337" s="6"/>
    </row>
    <row r="338" spans="1:1" ht="14.25" customHeight="1">
      <c r="A338" s="6"/>
    </row>
    <row r="339" spans="1:1" ht="14.25" customHeight="1">
      <c r="A339" s="6"/>
    </row>
    <row r="340" spans="1:1" ht="14.25" customHeight="1">
      <c r="A340" s="6"/>
    </row>
    <row r="341" spans="1:1" ht="14.25" customHeight="1">
      <c r="A341" s="6"/>
    </row>
    <row r="342" spans="1:1" ht="14.25" customHeight="1">
      <c r="A342" s="6"/>
    </row>
    <row r="343" spans="1:1" ht="14.25" customHeight="1">
      <c r="A343" s="6"/>
    </row>
    <row r="344" spans="1:1" ht="14.25" customHeight="1">
      <c r="A344" s="6"/>
    </row>
    <row r="345" spans="1:1" ht="14.25" customHeight="1">
      <c r="A345" s="6"/>
    </row>
    <row r="346" spans="1:1" ht="14.25" customHeight="1">
      <c r="A346" s="6"/>
    </row>
    <row r="347" spans="1:1" ht="14.25" customHeight="1">
      <c r="A347" s="6"/>
    </row>
    <row r="348" spans="1:1" ht="14.25" customHeight="1">
      <c r="A348" s="6"/>
    </row>
    <row r="349" spans="1:1" ht="14.25" customHeight="1">
      <c r="A349" s="6"/>
    </row>
    <row r="350" spans="1:1" ht="14.25" customHeight="1">
      <c r="A350" s="6"/>
    </row>
    <row r="351" spans="1:1" ht="14.25" customHeight="1">
      <c r="A351" s="6"/>
    </row>
    <row r="352" spans="1:1" ht="14.25" customHeight="1">
      <c r="A352" s="6"/>
    </row>
    <row r="353" spans="1:1" ht="14.25" customHeight="1">
      <c r="A353" s="6"/>
    </row>
    <row r="354" spans="1:1" ht="14.25" customHeight="1">
      <c r="A354" s="6"/>
    </row>
    <row r="355" spans="1:1" ht="14.25" customHeight="1">
      <c r="A355" s="6"/>
    </row>
    <row r="356" spans="1:1" ht="14.25" customHeight="1">
      <c r="A356" s="6"/>
    </row>
    <row r="357" spans="1:1" ht="14.25" customHeight="1">
      <c r="A357" s="6"/>
    </row>
    <row r="358" spans="1:1" ht="14.25" customHeight="1">
      <c r="A358" s="6"/>
    </row>
    <row r="359" spans="1:1" ht="14.25" customHeight="1">
      <c r="A359" s="6"/>
    </row>
    <row r="360" spans="1:1" ht="14.25" customHeight="1">
      <c r="A360" s="6"/>
    </row>
    <row r="361" spans="1:1" ht="14.25" customHeight="1">
      <c r="A361" s="6"/>
    </row>
    <row r="362" spans="1:1" ht="14.25" customHeight="1">
      <c r="A362" s="6"/>
    </row>
    <row r="363" spans="1:1" ht="14.25" customHeight="1">
      <c r="A363" s="6"/>
    </row>
    <row r="364" spans="1:1" ht="14.25" customHeight="1">
      <c r="A364" s="6"/>
    </row>
    <row r="365" spans="1:1" ht="14.25" customHeight="1">
      <c r="A365" s="6"/>
    </row>
    <row r="366" spans="1:1" ht="14.25" customHeight="1">
      <c r="A366" s="6"/>
    </row>
    <row r="367" spans="1:1" ht="14.25" customHeight="1">
      <c r="A367" s="6"/>
    </row>
    <row r="368" spans="1:1" ht="14.25" customHeight="1">
      <c r="A368" s="6"/>
    </row>
    <row r="369" spans="1:1" ht="14.25" customHeight="1">
      <c r="A369" s="6"/>
    </row>
    <row r="370" spans="1:1" ht="14.25" customHeight="1">
      <c r="A370" s="6"/>
    </row>
    <row r="371" spans="1:1" ht="14.25" customHeight="1">
      <c r="A371" s="6"/>
    </row>
    <row r="372" spans="1:1" ht="14.25" customHeight="1">
      <c r="A372" s="6"/>
    </row>
    <row r="373" spans="1:1" ht="14.25" customHeight="1">
      <c r="A373" s="6"/>
    </row>
    <row r="374" spans="1:1" ht="14.25" customHeight="1">
      <c r="A374" s="6"/>
    </row>
    <row r="375" spans="1:1" ht="14.25" customHeight="1">
      <c r="A375" s="6"/>
    </row>
    <row r="376" spans="1:1" ht="14.25" customHeight="1">
      <c r="A376" s="6"/>
    </row>
    <row r="377" spans="1:1" ht="14.25" customHeight="1">
      <c r="A377" s="6"/>
    </row>
    <row r="378" spans="1:1" ht="14.25" customHeight="1">
      <c r="A378" s="6"/>
    </row>
    <row r="379" spans="1:1" ht="14.25" customHeight="1">
      <c r="A379" s="6"/>
    </row>
    <row r="380" spans="1:1" ht="14.25" customHeight="1">
      <c r="A380" s="6"/>
    </row>
    <row r="381" spans="1:1" ht="14.25" customHeight="1">
      <c r="A381" s="6"/>
    </row>
    <row r="382" spans="1:1" ht="14.25" customHeight="1">
      <c r="A382" s="6"/>
    </row>
    <row r="383" spans="1:1" ht="14.25" customHeight="1">
      <c r="A383" s="6"/>
    </row>
    <row r="384" spans="1:1" ht="14.25" customHeight="1">
      <c r="A384" s="6"/>
    </row>
    <row r="385" spans="1:1" ht="14.25" customHeight="1">
      <c r="A385" s="6"/>
    </row>
    <row r="386" spans="1:1" ht="14.25" customHeight="1">
      <c r="A386" s="6"/>
    </row>
    <row r="387" spans="1:1" ht="14.25" customHeight="1">
      <c r="A387" s="6"/>
    </row>
    <row r="388" spans="1:1" ht="14.25" customHeight="1">
      <c r="A388" s="6"/>
    </row>
    <row r="389" spans="1:1" ht="14.25" customHeight="1">
      <c r="A389" s="6"/>
    </row>
    <row r="390" spans="1:1" ht="14.25" customHeight="1">
      <c r="A390" s="6"/>
    </row>
    <row r="391" spans="1:1" ht="14.25" customHeight="1">
      <c r="A391" s="6"/>
    </row>
    <row r="392" spans="1:1" ht="14.25" customHeight="1">
      <c r="A392" s="6"/>
    </row>
    <row r="393" spans="1:1" ht="14.25" customHeight="1">
      <c r="A393" s="6"/>
    </row>
    <row r="394" spans="1:1" ht="14.25" customHeight="1">
      <c r="A394" s="6"/>
    </row>
    <row r="395" spans="1:1" ht="14.25" customHeight="1">
      <c r="A395" s="6"/>
    </row>
    <row r="396" spans="1:1" ht="14.25" customHeight="1">
      <c r="A396" s="6"/>
    </row>
    <row r="397" spans="1:1" ht="14.25" customHeight="1">
      <c r="A397" s="6"/>
    </row>
    <row r="398" spans="1:1" ht="14.25" customHeight="1">
      <c r="A398" s="6"/>
    </row>
    <row r="399" spans="1:1" ht="14.25" customHeight="1">
      <c r="A399" s="6"/>
    </row>
    <row r="400" spans="1:1" ht="14.25" customHeight="1">
      <c r="A400" s="6"/>
    </row>
    <row r="401" spans="1:1" ht="14.25" customHeight="1">
      <c r="A401" s="6"/>
    </row>
    <row r="402" spans="1:1" ht="14.25" customHeight="1">
      <c r="A402" s="6"/>
    </row>
    <row r="403" spans="1:1" ht="14.25" customHeight="1">
      <c r="A403" s="6"/>
    </row>
    <row r="404" spans="1:1" ht="14.25" customHeight="1">
      <c r="A404" s="6"/>
    </row>
    <row r="405" spans="1:1" ht="14.25" customHeight="1">
      <c r="A405" s="6"/>
    </row>
    <row r="406" spans="1:1" ht="14.25" customHeight="1">
      <c r="A406" s="6"/>
    </row>
    <row r="407" spans="1:1" ht="14.25" customHeight="1">
      <c r="A407" s="6"/>
    </row>
    <row r="408" spans="1:1" ht="14.25" customHeight="1">
      <c r="A408" s="6"/>
    </row>
    <row r="409" spans="1:1" ht="14.25" customHeight="1">
      <c r="A409" s="6"/>
    </row>
    <row r="410" spans="1:1" ht="14.25" customHeight="1">
      <c r="A410" s="6"/>
    </row>
    <row r="411" spans="1:1" ht="14.25" customHeight="1">
      <c r="A411" s="6"/>
    </row>
    <row r="412" spans="1:1" ht="14.25" customHeight="1">
      <c r="A412" s="6"/>
    </row>
    <row r="413" spans="1:1" ht="14.25" customHeight="1">
      <c r="A413" s="6"/>
    </row>
    <row r="414" spans="1:1" ht="14.25" customHeight="1">
      <c r="A414" s="6"/>
    </row>
    <row r="415" spans="1:1" ht="14.25" customHeight="1">
      <c r="A415" s="6"/>
    </row>
    <row r="416" spans="1:1" ht="14.25" customHeight="1">
      <c r="A416" s="6"/>
    </row>
    <row r="417" spans="1:1" ht="14.25" customHeight="1">
      <c r="A417" s="6"/>
    </row>
    <row r="418" spans="1:1" ht="14.25" customHeight="1">
      <c r="A418" s="6"/>
    </row>
    <row r="419" spans="1:1" ht="14.25" customHeight="1">
      <c r="A419" s="6"/>
    </row>
    <row r="420" spans="1:1" ht="14.25" customHeight="1">
      <c r="A420" s="6"/>
    </row>
    <row r="421" spans="1:1" ht="14.25" customHeight="1">
      <c r="A421" s="6"/>
    </row>
    <row r="422" spans="1:1" ht="14.25" customHeight="1">
      <c r="A422" s="6"/>
    </row>
    <row r="423" spans="1:1" ht="14.25" customHeight="1">
      <c r="A423" s="6"/>
    </row>
    <row r="424" spans="1:1" ht="14.25" customHeight="1">
      <c r="A424" s="6"/>
    </row>
    <row r="425" spans="1:1" ht="14.25" customHeight="1">
      <c r="A425" s="6"/>
    </row>
    <row r="426" spans="1:1" ht="14.25" customHeight="1">
      <c r="A426" s="6"/>
    </row>
    <row r="427" spans="1:1" ht="14.25" customHeight="1">
      <c r="A427" s="6"/>
    </row>
    <row r="428" spans="1:1" ht="14.25" customHeight="1">
      <c r="A428" s="6"/>
    </row>
    <row r="429" spans="1:1" ht="14.25" customHeight="1">
      <c r="A429" s="6"/>
    </row>
    <row r="430" spans="1:1" ht="14.25" customHeight="1">
      <c r="A430" s="6"/>
    </row>
    <row r="431" spans="1:1" ht="14.25" customHeight="1">
      <c r="A431" s="6"/>
    </row>
    <row r="432" spans="1:1" ht="14.25" customHeight="1">
      <c r="A432" s="6"/>
    </row>
    <row r="433" spans="1:1" ht="14.25" customHeight="1">
      <c r="A433" s="6"/>
    </row>
    <row r="434" spans="1:1" ht="14.25" customHeight="1">
      <c r="A434" s="6"/>
    </row>
    <row r="435" spans="1:1" ht="14.25" customHeight="1">
      <c r="A435" s="6"/>
    </row>
    <row r="436" spans="1:1" ht="14.25" customHeight="1">
      <c r="A436" s="6"/>
    </row>
    <row r="437" spans="1:1" ht="14.25" customHeight="1">
      <c r="A437" s="6"/>
    </row>
    <row r="438" spans="1:1" ht="14.25" customHeight="1">
      <c r="A438" s="6"/>
    </row>
    <row r="439" spans="1:1" ht="14.25" customHeight="1">
      <c r="A439" s="6"/>
    </row>
    <row r="440" spans="1:1" ht="14.25" customHeight="1">
      <c r="A440" s="6"/>
    </row>
    <row r="441" spans="1:1" ht="14.25" customHeight="1">
      <c r="A441" s="6"/>
    </row>
    <row r="442" spans="1:1" ht="14.25" customHeight="1">
      <c r="A442" s="6"/>
    </row>
    <row r="443" spans="1:1" ht="14.25" customHeight="1">
      <c r="A443" s="6"/>
    </row>
    <row r="444" spans="1:1" ht="14.25" customHeight="1">
      <c r="A444" s="6"/>
    </row>
    <row r="445" spans="1:1" ht="14.25" customHeight="1">
      <c r="A445" s="6"/>
    </row>
    <row r="446" spans="1:1" ht="14.25" customHeight="1">
      <c r="A446" s="6"/>
    </row>
    <row r="447" spans="1:1" ht="14.25" customHeight="1">
      <c r="A447" s="6"/>
    </row>
    <row r="448" spans="1:1" ht="14.25" customHeight="1">
      <c r="A448" s="6"/>
    </row>
    <row r="449" spans="1:1" ht="14.25" customHeight="1">
      <c r="A449" s="6"/>
    </row>
    <row r="450" spans="1:1" ht="14.25" customHeight="1">
      <c r="A450" s="6"/>
    </row>
    <row r="451" spans="1:1" ht="14.25" customHeight="1">
      <c r="A451" s="6"/>
    </row>
    <row r="452" spans="1:1" ht="14.25" customHeight="1">
      <c r="A452" s="6"/>
    </row>
    <row r="453" spans="1:1" ht="14.25" customHeight="1">
      <c r="A453" s="6"/>
    </row>
    <row r="454" spans="1:1" ht="14.25" customHeight="1">
      <c r="A454" s="6"/>
    </row>
    <row r="455" spans="1:1" ht="14.25" customHeight="1">
      <c r="A455" s="6"/>
    </row>
    <row r="456" spans="1:1" ht="14.25" customHeight="1">
      <c r="A456" s="6"/>
    </row>
    <row r="457" spans="1:1" ht="14.25" customHeight="1">
      <c r="A457" s="6"/>
    </row>
    <row r="458" spans="1:1" ht="14.25" customHeight="1">
      <c r="A458" s="6"/>
    </row>
    <row r="459" spans="1:1" ht="14.25" customHeight="1">
      <c r="A459" s="6"/>
    </row>
    <row r="460" spans="1:1" ht="14.25" customHeight="1">
      <c r="A460" s="6"/>
    </row>
    <row r="461" spans="1:1" ht="14.25" customHeight="1">
      <c r="A461" s="6"/>
    </row>
    <row r="462" spans="1:1" ht="14.25" customHeight="1">
      <c r="A462" s="6"/>
    </row>
    <row r="463" spans="1:1" ht="14.25" customHeight="1">
      <c r="A463" s="6"/>
    </row>
    <row r="464" spans="1:1" ht="14.25" customHeight="1">
      <c r="A464" s="6"/>
    </row>
    <row r="465" spans="1:1" ht="14.25" customHeight="1">
      <c r="A465" s="6"/>
    </row>
    <row r="466" spans="1:1" ht="14.25" customHeight="1">
      <c r="A466" s="6"/>
    </row>
    <row r="467" spans="1:1" ht="14.25" customHeight="1">
      <c r="A467" s="6"/>
    </row>
    <row r="468" spans="1:1" ht="14.25" customHeight="1">
      <c r="A468" s="6"/>
    </row>
    <row r="469" spans="1:1" ht="14.25" customHeight="1">
      <c r="A469" s="6"/>
    </row>
    <row r="470" spans="1:1" ht="14.25" customHeight="1">
      <c r="A470" s="6"/>
    </row>
    <row r="471" spans="1:1" ht="14.25" customHeight="1">
      <c r="A471" s="6"/>
    </row>
    <row r="472" spans="1:1" ht="14.25" customHeight="1">
      <c r="A472" s="6"/>
    </row>
    <row r="473" spans="1:1" ht="14.25" customHeight="1">
      <c r="A473" s="6"/>
    </row>
    <row r="474" spans="1:1" ht="14.25" customHeight="1">
      <c r="A474" s="6"/>
    </row>
    <row r="475" spans="1:1" ht="14.25" customHeight="1">
      <c r="A475" s="6"/>
    </row>
    <row r="476" spans="1:1" ht="14.25" customHeight="1">
      <c r="A476" s="6"/>
    </row>
    <row r="477" spans="1:1" ht="14.25" customHeight="1">
      <c r="A477" s="6"/>
    </row>
    <row r="478" spans="1:1" ht="14.25" customHeight="1">
      <c r="A478" s="6"/>
    </row>
    <row r="479" spans="1:1" ht="14.25" customHeight="1">
      <c r="A479" s="6"/>
    </row>
    <row r="480" spans="1:1" ht="14.25" customHeight="1">
      <c r="A480" s="6"/>
    </row>
    <row r="481" spans="1:1" ht="14.25" customHeight="1">
      <c r="A481" s="6"/>
    </row>
    <row r="482" spans="1:1" ht="14.25" customHeight="1">
      <c r="A482" s="6"/>
    </row>
    <row r="483" spans="1:1" ht="14.25" customHeight="1">
      <c r="A483" s="6"/>
    </row>
    <row r="484" spans="1:1" ht="14.25" customHeight="1">
      <c r="A484" s="6"/>
    </row>
    <row r="485" spans="1:1" ht="14.25" customHeight="1">
      <c r="A485" s="6"/>
    </row>
    <row r="486" spans="1:1" ht="14.25" customHeight="1">
      <c r="A486" s="6"/>
    </row>
    <row r="487" spans="1:1" ht="14.25" customHeight="1">
      <c r="A487" s="6"/>
    </row>
    <row r="488" spans="1:1" ht="14.25" customHeight="1">
      <c r="A488" s="6"/>
    </row>
    <row r="489" spans="1:1" ht="14.25" customHeight="1">
      <c r="A489" s="6"/>
    </row>
    <row r="490" spans="1:1" ht="14.25" customHeight="1">
      <c r="A490" s="6"/>
    </row>
    <row r="491" spans="1:1" ht="14.25" customHeight="1">
      <c r="A491" s="6"/>
    </row>
    <row r="492" spans="1:1" ht="14.25" customHeight="1">
      <c r="A492" s="6"/>
    </row>
    <row r="493" spans="1:1" ht="14.25" customHeight="1">
      <c r="A493" s="6"/>
    </row>
    <row r="494" spans="1:1" ht="14.25" customHeight="1">
      <c r="A494" s="6"/>
    </row>
    <row r="495" spans="1:1" ht="14.25" customHeight="1">
      <c r="A495" s="6"/>
    </row>
    <row r="496" spans="1:1" ht="14.25" customHeight="1">
      <c r="A496" s="6"/>
    </row>
    <row r="497" spans="1:1" ht="14.25" customHeight="1">
      <c r="A497" s="6"/>
    </row>
    <row r="498" spans="1:1" ht="14.25" customHeight="1">
      <c r="A498" s="6"/>
    </row>
    <row r="499" spans="1:1" ht="14.25" customHeight="1">
      <c r="A499" s="6"/>
    </row>
    <row r="500" spans="1:1" ht="14.25" customHeight="1">
      <c r="A500" s="6"/>
    </row>
    <row r="501" spans="1:1" ht="14.25" customHeight="1">
      <c r="A501" s="6"/>
    </row>
    <row r="502" spans="1:1" ht="14.25" customHeight="1">
      <c r="A502" s="6"/>
    </row>
    <row r="503" spans="1:1" ht="14.25" customHeight="1">
      <c r="A503" s="6"/>
    </row>
    <row r="504" spans="1:1" ht="14.25" customHeight="1">
      <c r="A504" s="6"/>
    </row>
    <row r="505" spans="1:1" ht="14.25" customHeight="1">
      <c r="A505" s="6"/>
    </row>
    <row r="506" spans="1:1" ht="14.25" customHeight="1">
      <c r="A506" s="6"/>
    </row>
    <row r="507" spans="1:1" ht="14.25" customHeight="1">
      <c r="A507" s="6"/>
    </row>
    <row r="508" spans="1:1" ht="14.25" customHeight="1">
      <c r="A508" s="6"/>
    </row>
    <row r="509" spans="1:1" ht="14.25" customHeight="1">
      <c r="A509" s="6"/>
    </row>
    <row r="510" spans="1:1" ht="14.25" customHeight="1">
      <c r="A510" s="6"/>
    </row>
    <row r="511" spans="1:1" ht="14.25" customHeight="1">
      <c r="A511" s="6"/>
    </row>
    <row r="512" spans="1:1" ht="14.25" customHeight="1">
      <c r="A512" s="6"/>
    </row>
    <row r="513" spans="1:1" ht="14.25" customHeight="1">
      <c r="A513" s="6"/>
    </row>
    <row r="514" spans="1:1" ht="14.25" customHeight="1">
      <c r="A514" s="6"/>
    </row>
    <row r="515" spans="1:1" ht="14.25" customHeight="1">
      <c r="A515" s="6"/>
    </row>
    <row r="516" spans="1:1" ht="14.25" customHeight="1">
      <c r="A516" s="6"/>
    </row>
    <row r="517" spans="1:1" ht="14.25" customHeight="1">
      <c r="A517" s="6"/>
    </row>
    <row r="518" spans="1:1" ht="14.25" customHeight="1">
      <c r="A518" s="6"/>
    </row>
    <row r="519" spans="1:1" ht="14.25" customHeight="1">
      <c r="A519" s="6"/>
    </row>
    <row r="520" spans="1:1" ht="14.25" customHeight="1">
      <c r="A520" s="6"/>
    </row>
    <row r="521" spans="1:1" ht="14.25" customHeight="1">
      <c r="A521" s="6"/>
    </row>
    <row r="522" spans="1:1" ht="14.25" customHeight="1">
      <c r="A522" s="6"/>
    </row>
    <row r="523" spans="1:1" ht="14.25" customHeight="1">
      <c r="A523" s="6"/>
    </row>
    <row r="524" spans="1:1" ht="14.25" customHeight="1">
      <c r="A524" s="6"/>
    </row>
    <row r="525" spans="1:1" ht="14.25" customHeight="1">
      <c r="A525" s="6"/>
    </row>
    <row r="526" spans="1:1" ht="14.25" customHeight="1">
      <c r="A526" s="6"/>
    </row>
    <row r="527" spans="1:1" ht="14.25" customHeight="1">
      <c r="A527" s="6"/>
    </row>
    <row r="528" spans="1:1" ht="14.25" customHeight="1">
      <c r="A528" s="6"/>
    </row>
    <row r="529" spans="1:1" ht="14.25" customHeight="1">
      <c r="A529" s="6"/>
    </row>
    <row r="530" spans="1:1" ht="14.25" customHeight="1">
      <c r="A530" s="6"/>
    </row>
    <row r="531" spans="1:1" ht="14.25" customHeight="1">
      <c r="A531" s="6"/>
    </row>
    <row r="532" spans="1:1" ht="14.25" customHeight="1">
      <c r="A532" s="6"/>
    </row>
    <row r="533" spans="1:1" ht="14.25" customHeight="1">
      <c r="A533" s="6"/>
    </row>
    <row r="534" spans="1:1" ht="14.25" customHeight="1">
      <c r="A534" s="6"/>
    </row>
    <row r="535" spans="1:1" ht="14.25" customHeight="1">
      <c r="A535" s="6"/>
    </row>
    <row r="536" spans="1:1" ht="14.25" customHeight="1">
      <c r="A536" s="6"/>
    </row>
    <row r="537" spans="1:1" ht="14.25" customHeight="1">
      <c r="A537" s="6"/>
    </row>
    <row r="538" spans="1:1" ht="14.25" customHeight="1">
      <c r="A538" s="6"/>
    </row>
    <row r="539" spans="1:1" ht="14.25" customHeight="1">
      <c r="A539" s="6"/>
    </row>
    <row r="540" spans="1:1" ht="14.25" customHeight="1">
      <c r="A540" s="6"/>
    </row>
    <row r="541" spans="1:1" ht="14.25" customHeight="1">
      <c r="A541" s="6"/>
    </row>
    <row r="542" spans="1:1" ht="14.25" customHeight="1">
      <c r="A542" s="6"/>
    </row>
    <row r="543" spans="1:1" ht="14.25" customHeight="1">
      <c r="A543" s="6"/>
    </row>
    <row r="544" spans="1:1" ht="14.25" customHeight="1">
      <c r="A544" s="6"/>
    </row>
    <row r="545" spans="1:1" ht="14.25" customHeight="1">
      <c r="A545" s="6"/>
    </row>
    <row r="546" spans="1:1" ht="14.25" customHeight="1">
      <c r="A546" s="6"/>
    </row>
    <row r="547" spans="1:1" ht="14.25" customHeight="1">
      <c r="A547" s="6"/>
    </row>
    <row r="548" spans="1:1" ht="14.25" customHeight="1">
      <c r="A548" s="6"/>
    </row>
    <row r="549" spans="1:1" ht="14.25" customHeight="1">
      <c r="A549" s="6"/>
    </row>
    <row r="550" spans="1:1" ht="14.25" customHeight="1">
      <c r="A550" s="6"/>
    </row>
    <row r="551" spans="1:1" ht="14.25" customHeight="1">
      <c r="A551" s="6"/>
    </row>
    <row r="552" spans="1:1" ht="14.25" customHeight="1">
      <c r="A552" s="6"/>
    </row>
    <row r="553" spans="1:1" ht="14.25" customHeight="1">
      <c r="A553" s="6"/>
    </row>
    <row r="554" spans="1:1" ht="14.25" customHeight="1">
      <c r="A554" s="6"/>
    </row>
    <row r="555" spans="1:1" ht="14.25" customHeight="1">
      <c r="A555" s="6"/>
    </row>
    <row r="556" spans="1:1" ht="14.25" customHeight="1">
      <c r="A556" s="6"/>
    </row>
    <row r="557" spans="1:1" ht="14.25" customHeight="1">
      <c r="A557" s="6"/>
    </row>
    <row r="558" spans="1:1" ht="14.25" customHeight="1">
      <c r="A558" s="6"/>
    </row>
    <row r="559" spans="1:1" ht="14.25" customHeight="1">
      <c r="A559" s="6"/>
    </row>
    <row r="560" spans="1:1" ht="14.25" customHeight="1">
      <c r="A560" s="6"/>
    </row>
    <row r="561" spans="1:1" ht="14.25" customHeight="1">
      <c r="A561" s="6"/>
    </row>
    <row r="562" spans="1:1" ht="14.25" customHeight="1">
      <c r="A562" s="6"/>
    </row>
    <row r="563" spans="1:1" ht="14.25" customHeight="1">
      <c r="A563" s="6"/>
    </row>
    <row r="564" spans="1:1" ht="14.25" customHeight="1">
      <c r="A564" s="6"/>
    </row>
    <row r="565" spans="1:1" ht="14.25" customHeight="1">
      <c r="A565" s="6"/>
    </row>
    <row r="566" spans="1:1" ht="14.25" customHeight="1">
      <c r="A566" s="6"/>
    </row>
    <row r="567" spans="1:1" ht="14.25" customHeight="1">
      <c r="A567" s="6"/>
    </row>
    <row r="568" spans="1:1" ht="14.25" customHeight="1">
      <c r="A568" s="6"/>
    </row>
    <row r="569" spans="1:1" ht="14.25" customHeight="1">
      <c r="A569" s="6"/>
    </row>
    <row r="570" spans="1:1" ht="14.25" customHeight="1">
      <c r="A570" s="6"/>
    </row>
    <row r="571" spans="1:1" ht="14.25" customHeight="1">
      <c r="A571" s="6"/>
    </row>
    <row r="572" spans="1:1" ht="14.25" customHeight="1">
      <c r="A572" s="6"/>
    </row>
    <row r="573" spans="1:1" ht="14.25" customHeight="1">
      <c r="A573" s="6"/>
    </row>
    <row r="574" spans="1:1" ht="14.25" customHeight="1">
      <c r="A574" s="6"/>
    </row>
    <row r="575" spans="1:1" ht="14.25" customHeight="1">
      <c r="A575" s="6"/>
    </row>
    <row r="576" spans="1:1" ht="14.25" customHeight="1">
      <c r="A576" s="6"/>
    </row>
    <row r="577" spans="1:1" ht="14.25" customHeight="1">
      <c r="A577" s="6"/>
    </row>
    <row r="578" spans="1:1" ht="14.25" customHeight="1">
      <c r="A578" s="6"/>
    </row>
    <row r="579" spans="1:1" ht="14.25" customHeight="1">
      <c r="A579" s="6"/>
    </row>
    <row r="580" spans="1:1" ht="14.25" customHeight="1">
      <c r="A580" s="6"/>
    </row>
    <row r="581" spans="1:1" ht="14.25" customHeight="1">
      <c r="A581" s="6"/>
    </row>
    <row r="582" spans="1:1" ht="14.25" customHeight="1">
      <c r="A582" s="6"/>
    </row>
    <row r="583" spans="1:1" ht="14.25" customHeight="1">
      <c r="A583" s="6"/>
    </row>
    <row r="584" spans="1:1" ht="14.25" customHeight="1">
      <c r="A584" s="6"/>
    </row>
    <row r="585" spans="1:1" ht="14.25" customHeight="1">
      <c r="A585" s="6"/>
    </row>
    <row r="586" spans="1:1" ht="14.25" customHeight="1">
      <c r="A586" s="6"/>
    </row>
    <row r="587" spans="1:1" ht="14.25" customHeight="1">
      <c r="A587" s="6"/>
    </row>
    <row r="588" spans="1:1" ht="14.25" customHeight="1">
      <c r="A588" s="6"/>
    </row>
    <row r="589" spans="1:1" ht="14.25" customHeight="1">
      <c r="A589" s="6"/>
    </row>
    <row r="590" spans="1:1" ht="14.25" customHeight="1">
      <c r="A590" s="6"/>
    </row>
    <row r="591" spans="1:1" ht="14.25" customHeight="1">
      <c r="A591" s="6"/>
    </row>
    <row r="592" spans="1:1" ht="14.25" customHeight="1">
      <c r="A592" s="6"/>
    </row>
    <row r="593" spans="1:1" ht="14.25" customHeight="1">
      <c r="A593" s="6"/>
    </row>
    <row r="594" spans="1:1" ht="14.25" customHeight="1">
      <c r="A594" s="6"/>
    </row>
    <row r="595" spans="1:1" ht="14.25" customHeight="1">
      <c r="A595" s="6"/>
    </row>
    <row r="596" spans="1:1" ht="14.25" customHeight="1">
      <c r="A596" s="6"/>
    </row>
    <row r="597" spans="1:1" ht="14.25" customHeight="1">
      <c r="A597" s="6"/>
    </row>
    <row r="598" spans="1:1" ht="14.25" customHeight="1">
      <c r="A598" s="6"/>
    </row>
    <row r="599" spans="1:1" ht="14.25" customHeight="1">
      <c r="A599" s="6"/>
    </row>
    <row r="600" spans="1:1" ht="14.25" customHeight="1">
      <c r="A600" s="6"/>
    </row>
    <row r="601" spans="1:1" ht="14.25" customHeight="1">
      <c r="A601" s="6"/>
    </row>
    <row r="602" spans="1:1" ht="14.25" customHeight="1">
      <c r="A602" s="6"/>
    </row>
    <row r="603" spans="1:1" ht="14.25" customHeight="1">
      <c r="A603" s="6"/>
    </row>
    <row r="604" spans="1:1" ht="14.25" customHeight="1">
      <c r="A604" s="6"/>
    </row>
    <row r="605" spans="1:1" ht="14.25" customHeight="1">
      <c r="A605" s="6"/>
    </row>
    <row r="606" spans="1:1" ht="14.25" customHeight="1">
      <c r="A606" s="6"/>
    </row>
    <row r="607" spans="1:1" ht="14.25" customHeight="1">
      <c r="A607" s="6"/>
    </row>
    <row r="608" spans="1:1" ht="14.25" customHeight="1">
      <c r="A608" s="6"/>
    </row>
    <row r="609" spans="1:1" ht="14.25" customHeight="1">
      <c r="A609" s="6"/>
    </row>
    <row r="610" spans="1:1" ht="14.25" customHeight="1">
      <c r="A610" s="6"/>
    </row>
    <row r="611" spans="1:1" ht="14.25" customHeight="1">
      <c r="A611" s="6"/>
    </row>
    <row r="612" spans="1:1" ht="14.25" customHeight="1">
      <c r="A612" s="6"/>
    </row>
    <row r="613" spans="1:1" ht="14.25" customHeight="1">
      <c r="A613" s="6"/>
    </row>
    <row r="614" spans="1:1" ht="14.25" customHeight="1">
      <c r="A614" s="6"/>
    </row>
    <row r="615" spans="1:1" ht="14.25" customHeight="1">
      <c r="A615" s="6"/>
    </row>
    <row r="616" spans="1:1" ht="14.25" customHeight="1">
      <c r="A616" s="6"/>
    </row>
    <row r="617" spans="1:1" ht="14.25" customHeight="1">
      <c r="A617" s="6"/>
    </row>
    <row r="618" spans="1:1" ht="14.25" customHeight="1">
      <c r="A618" s="6"/>
    </row>
    <row r="619" spans="1:1" ht="14.25" customHeight="1">
      <c r="A619" s="6"/>
    </row>
    <row r="620" spans="1:1" ht="14.25" customHeight="1">
      <c r="A620" s="6"/>
    </row>
    <row r="621" spans="1:1" ht="14.25" customHeight="1">
      <c r="A621" s="6"/>
    </row>
    <row r="622" spans="1:1" ht="14.25" customHeight="1">
      <c r="A622" s="6"/>
    </row>
    <row r="623" spans="1:1" ht="14.25" customHeight="1">
      <c r="A623" s="6"/>
    </row>
    <row r="624" spans="1:1" ht="14.25" customHeight="1">
      <c r="A624" s="6"/>
    </row>
    <row r="625" spans="1:1" ht="14.25" customHeight="1">
      <c r="A625" s="6"/>
    </row>
    <row r="626" spans="1:1" ht="14.25" customHeight="1">
      <c r="A626" s="6"/>
    </row>
    <row r="627" spans="1:1" ht="14.25" customHeight="1">
      <c r="A627" s="6"/>
    </row>
    <row r="628" spans="1:1" ht="14.25" customHeight="1">
      <c r="A628" s="6"/>
    </row>
    <row r="629" spans="1:1" ht="14.25" customHeight="1">
      <c r="A629" s="6"/>
    </row>
    <row r="630" spans="1:1" ht="14.25" customHeight="1">
      <c r="A630" s="6"/>
    </row>
    <row r="631" spans="1:1" ht="14.25" customHeight="1">
      <c r="A631" s="6"/>
    </row>
    <row r="632" spans="1:1" ht="14.25" customHeight="1">
      <c r="A632" s="6"/>
    </row>
    <row r="633" spans="1:1" ht="14.25" customHeight="1">
      <c r="A633" s="6"/>
    </row>
    <row r="634" spans="1:1" ht="14.25" customHeight="1">
      <c r="A634" s="6"/>
    </row>
    <row r="635" spans="1:1" ht="14.25" customHeight="1">
      <c r="A635" s="6"/>
    </row>
    <row r="636" spans="1:1" ht="14.25" customHeight="1">
      <c r="A636" s="6"/>
    </row>
    <row r="637" spans="1:1" ht="14.25" customHeight="1">
      <c r="A637" s="6"/>
    </row>
    <row r="638" spans="1:1" ht="14.25" customHeight="1">
      <c r="A638" s="6"/>
    </row>
    <row r="639" spans="1:1" ht="14.25" customHeight="1">
      <c r="A639" s="6"/>
    </row>
    <row r="640" spans="1:1" ht="14.25" customHeight="1">
      <c r="A640" s="6"/>
    </row>
    <row r="641" spans="1:1" ht="14.25" customHeight="1">
      <c r="A641" s="6"/>
    </row>
    <row r="642" spans="1:1" ht="14.25" customHeight="1">
      <c r="A642" s="6"/>
    </row>
    <row r="643" spans="1:1" ht="14.25" customHeight="1">
      <c r="A643" s="6"/>
    </row>
    <row r="644" spans="1:1" ht="14.25" customHeight="1">
      <c r="A644" s="6"/>
    </row>
    <row r="645" spans="1:1" ht="14.25" customHeight="1">
      <c r="A645" s="6"/>
    </row>
    <row r="646" spans="1:1" ht="14.25" customHeight="1">
      <c r="A646" s="6"/>
    </row>
    <row r="647" spans="1:1" ht="14.25" customHeight="1">
      <c r="A647" s="6"/>
    </row>
    <row r="648" spans="1:1" ht="14.25" customHeight="1">
      <c r="A648" s="6"/>
    </row>
    <row r="649" spans="1:1" ht="14.25" customHeight="1">
      <c r="A649" s="6"/>
    </row>
    <row r="650" spans="1:1" ht="14.25" customHeight="1">
      <c r="A650" s="6"/>
    </row>
    <row r="651" spans="1:1" ht="14.25" customHeight="1">
      <c r="A651" s="6"/>
    </row>
    <row r="652" spans="1:1" ht="14.25" customHeight="1">
      <c r="A652" s="6"/>
    </row>
    <row r="653" spans="1:1" ht="14.25" customHeight="1">
      <c r="A653" s="6"/>
    </row>
    <row r="654" spans="1:1" ht="14.25" customHeight="1">
      <c r="A654" s="6"/>
    </row>
    <row r="655" spans="1:1" ht="14.25" customHeight="1">
      <c r="A655" s="6"/>
    </row>
    <row r="656" spans="1:1" ht="14.25" customHeight="1">
      <c r="A656" s="6"/>
    </row>
    <row r="657" spans="1:1" ht="14.25" customHeight="1">
      <c r="A657" s="6"/>
    </row>
    <row r="658" spans="1:1" ht="14.25" customHeight="1">
      <c r="A658" s="6"/>
    </row>
    <row r="659" spans="1:1" ht="14.25" customHeight="1">
      <c r="A659" s="6"/>
    </row>
    <row r="660" spans="1:1" ht="14.25" customHeight="1">
      <c r="A660" s="6"/>
    </row>
    <row r="661" spans="1:1" ht="14.25" customHeight="1">
      <c r="A661" s="6"/>
    </row>
    <row r="662" spans="1:1" ht="14.25" customHeight="1">
      <c r="A662" s="6"/>
    </row>
    <row r="663" spans="1:1" ht="14.25" customHeight="1">
      <c r="A663" s="6"/>
    </row>
    <row r="664" spans="1:1" ht="14.25" customHeight="1">
      <c r="A664" s="6"/>
    </row>
    <row r="665" spans="1:1" ht="14.25" customHeight="1">
      <c r="A665" s="6"/>
    </row>
    <row r="666" spans="1:1" ht="14.25" customHeight="1">
      <c r="A666" s="6"/>
    </row>
    <row r="667" spans="1:1" ht="14.25" customHeight="1">
      <c r="A667" s="6"/>
    </row>
    <row r="668" spans="1:1" ht="14.25" customHeight="1">
      <c r="A668" s="6"/>
    </row>
    <row r="669" spans="1:1" ht="14.25" customHeight="1">
      <c r="A669" s="6"/>
    </row>
    <row r="670" spans="1:1" ht="14.25" customHeight="1">
      <c r="A670" s="6"/>
    </row>
    <row r="671" spans="1:1" ht="14.25" customHeight="1">
      <c r="A671" s="6"/>
    </row>
    <row r="672" spans="1:1" ht="14.25" customHeight="1">
      <c r="A672" s="6"/>
    </row>
    <row r="673" spans="1:1" ht="14.25" customHeight="1">
      <c r="A673" s="6"/>
    </row>
    <row r="674" spans="1:1" ht="14.25" customHeight="1">
      <c r="A674" s="6"/>
    </row>
    <row r="675" spans="1:1" ht="14.25" customHeight="1">
      <c r="A675" s="6"/>
    </row>
    <row r="676" spans="1:1" ht="14.25" customHeight="1">
      <c r="A676" s="6"/>
    </row>
    <row r="677" spans="1:1" ht="14.25" customHeight="1">
      <c r="A677" s="6"/>
    </row>
    <row r="678" spans="1:1" ht="14.25" customHeight="1">
      <c r="A678" s="6"/>
    </row>
    <row r="679" spans="1:1" ht="14.25" customHeight="1">
      <c r="A679" s="6"/>
    </row>
    <row r="680" spans="1:1" ht="14.25" customHeight="1">
      <c r="A680" s="6"/>
    </row>
    <row r="681" spans="1:1" ht="14.25" customHeight="1">
      <c r="A681" s="6"/>
    </row>
    <row r="682" spans="1:1" ht="14.25" customHeight="1">
      <c r="A682" s="6"/>
    </row>
    <row r="683" spans="1:1" ht="14.25" customHeight="1">
      <c r="A683" s="6"/>
    </row>
    <row r="684" spans="1:1" ht="14.25" customHeight="1">
      <c r="A684" s="6"/>
    </row>
    <row r="685" spans="1:1" ht="14.25" customHeight="1">
      <c r="A685" s="6"/>
    </row>
    <row r="686" spans="1:1" ht="14.25" customHeight="1">
      <c r="A686" s="6"/>
    </row>
    <row r="687" spans="1:1" ht="14.25" customHeight="1">
      <c r="A687" s="6"/>
    </row>
    <row r="688" spans="1:1" ht="14.25" customHeight="1">
      <c r="A688" s="6"/>
    </row>
    <row r="689" spans="1:1" ht="14.25" customHeight="1">
      <c r="A689" s="6"/>
    </row>
    <row r="690" spans="1:1" ht="14.25" customHeight="1">
      <c r="A690" s="6"/>
    </row>
    <row r="691" spans="1:1" ht="14.25" customHeight="1">
      <c r="A691" s="6"/>
    </row>
    <row r="692" spans="1:1" ht="14.25" customHeight="1">
      <c r="A692" s="6"/>
    </row>
    <row r="693" spans="1:1" ht="14.25" customHeight="1">
      <c r="A693" s="6"/>
    </row>
    <row r="694" spans="1:1" ht="14.25" customHeight="1">
      <c r="A694" s="6"/>
    </row>
    <row r="695" spans="1:1" ht="14.25" customHeight="1">
      <c r="A695" s="6"/>
    </row>
    <row r="696" spans="1:1" ht="14.25" customHeight="1">
      <c r="A696" s="6"/>
    </row>
    <row r="697" spans="1:1" ht="14.25" customHeight="1">
      <c r="A697" s="6"/>
    </row>
    <row r="698" spans="1:1" ht="14.25" customHeight="1">
      <c r="A698" s="6"/>
    </row>
    <row r="699" spans="1:1" ht="14.25" customHeight="1">
      <c r="A699" s="6"/>
    </row>
    <row r="700" spans="1:1" ht="14.25" customHeight="1">
      <c r="A700" s="6"/>
    </row>
    <row r="701" spans="1:1" ht="14.25" customHeight="1">
      <c r="A701" s="6"/>
    </row>
    <row r="702" spans="1:1" ht="14.25" customHeight="1">
      <c r="A702" s="6"/>
    </row>
    <row r="703" spans="1:1" ht="14.25" customHeight="1">
      <c r="A703" s="6"/>
    </row>
    <row r="704" spans="1:1" ht="14.25" customHeight="1">
      <c r="A704" s="6"/>
    </row>
    <row r="705" spans="1:1" ht="14.25" customHeight="1">
      <c r="A705" s="6"/>
    </row>
    <row r="706" spans="1:1" ht="14.25" customHeight="1">
      <c r="A706" s="6"/>
    </row>
    <row r="707" spans="1:1" ht="14.25" customHeight="1">
      <c r="A707" s="6"/>
    </row>
    <row r="708" spans="1:1" ht="14.25" customHeight="1">
      <c r="A708" s="6"/>
    </row>
    <row r="709" spans="1:1" ht="14.25" customHeight="1">
      <c r="A709" s="6"/>
    </row>
    <row r="710" spans="1:1" ht="14.25" customHeight="1">
      <c r="A710" s="6"/>
    </row>
    <row r="711" spans="1:1" ht="14.25" customHeight="1">
      <c r="A711" s="6"/>
    </row>
    <row r="712" spans="1:1" ht="14.25" customHeight="1">
      <c r="A712" s="6"/>
    </row>
    <row r="713" spans="1:1" ht="14.25" customHeight="1">
      <c r="A713" s="6"/>
    </row>
    <row r="714" spans="1:1" ht="14.25" customHeight="1">
      <c r="A714" s="6"/>
    </row>
    <row r="715" spans="1:1" ht="14.25" customHeight="1">
      <c r="A715" s="6"/>
    </row>
    <row r="716" spans="1:1" ht="14.25" customHeight="1">
      <c r="A716" s="6"/>
    </row>
    <row r="717" spans="1:1" ht="14.25" customHeight="1">
      <c r="A717" s="6"/>
    </row>
    <row r="718" spans="1:1" ht="14.25" customHeight="1">
      <c r="A718" s="6"/>
    </row>
    <row r="719" spans="1:1" ht="14.25" customHeight="1">
      <c r="A719" s="6"/>
    </row>
    <row r="720" spans="1:1" ht="14.25" customHeight="1">
      <c r="A720" s="6"/>
    </row>
    <row r="721" spans="1:1" ht="14.25" customHeight="1">
      <c r="A721" s="6"/>
    </row>
    <row r="722" spans="1:1" ht="14.25" customHeight="1">
      <c r="A722" s="6"/>
    </row>
    <row r="723" spans="1:1" ht="14.25" customHeight="1">
      <c r="A723" s="6"/>
    </row>
    <row r="724" spans="1:1" ht="14.25" customHeight="1">
      <c r="A724" s="6"/>
    </row>
    <row r="725" spans="1:1" ht="14.25" customHeight="1">
      <c r="A725" s="6"/>
    </row>
    <row r="726" spans="1:1" ht="14.25" customHeight="1">
      <c r="A726" s="6"/>
    </row>
    <row r="727" spans="1:1" ht="14.25" customHeight="1">
      <c r="A727" s="6"/>
    </row>
    <row r="728" spans="1:1" ht="14.25" customHeight="1">
      <c r="A728" s="6"/>
    </row>
    <row r="729" spans="1:1" ht="14.25" customHeight="1">
      <c r="A729" s="6"/>
    </row>
    <row r="730" spans="1:1" ht="14.25" customHeight="1">
      <c r="A730" s="6"/>
    </row>
    <row r="731" spans="1:1" ht="14.25" customHeight="1">
      <c r="A731" s="6"/>
    </row>
    <row r="732" spans="1:1" ht="14.25" customHeight="1">
      <c r="A732" s="6"/>
    </row>
    <row r="733" spans="1:1" ht="14.25" customHeight="1">
      <c r="A733" s="6"/>
    </row>
    <row r="734" spans="1:1" ht="14.25" customHeight="1">
      <c r="A734" s="6"/>
    </row>
    <row r="735" spans="1:1" ht="14.25" customHeight="1">
      <c r="A735" s="6"/>
    </row>
    <row r="736" spans="1:1" ht="14.25" customHeight="1">
      <c r="A736" s="6"/>
    </row>
    <row r="737" spans="1:1" ht="14.25" customHeight="1">
      <c r="A737" s="6"/>
    </row>
    <row r="738" spans="1:1" ht="14.25" customHeight="1">
      <c r="A738" s="6"/>
    </row>
    <row r="739" spans="1:1" ht="14.25" customHeight="1">
      <c r="A739" s="6"/>
    </row>
    <row r="740" spans="1:1" ht="14.25" customHeight="1">
      <c r="A740" s="6"/>
    </row>
    <row r="741" spans="1:1" ht="14.25" customHeight="1">
      <c r="A741" s="6"/>
    </row>
    <row r="742" spans="1:1" ht="14.25" customHeight="1">
      <c r="A742" s="6"/>
    </row>
    <row r="743" spans="1:1" ht="14.25" customHeight="1">
      <c r="A743" s="6"/>
    </row>
    <row r="744" spans="1:1" ht="14.25" customHeight="1">
      <c r="A744" s="6"/>
    </row>
    <row r="745" spans="1:1" ht="14.25" customHeight="1">
      <c r="A745" s="6"/>
    </row>
    <row r="746" spans="1:1" ht="14.25" customHeight="1">
      <c r="A746" s="6"/>
    </row>
    <row r="747" spans="1:1" ht="14.25" customHeight="1">
      <c r="A747" s="6"/>
    </row>
    <row r="748" spans="1:1" ht="14.25" customHeight="1">
      <c r="A748" s="6"/>
    </row>
    <row r="749" spans="1:1" ht="14.25" customHeight="1">
      <c r="A749" s="6"/>
    </row>
    <row r="750" spans="1:1" ht="14.25" customHeight="1">
      <c r="A750" s="6"/>
    </row>
    <row r="751" spans="1:1" ht="14.25" customHeight="1">
      <c r="A751" s="6"/>
    </row>
    <row r="752" spans="1:1" ht="14.25" customHeight="1">
      <c r="A752" s="6"/>
    </row>
    <row r="753" spans="1:1" ht="14.25" customHeight="1">
      <c r="A753" s="6"/>
    </row>
    <row r="754" spans="1:1" ht="14.25" customHeight="1">
      <c r="A754" s="6"/>
    </row>
    <row r="755" spans="1:1" ht="14.25" customHeight="1">
      <c r="A755" s="6"/>
    </row>
    <row r="756" spans="1:1" ht="14.25" customHeight="1">
      <c r="A756" s="6"/>
    </row>
    <row r="757" spans="1:1" ht="14.25" customHeight="1">
      <c r="A757" s="6"/>
    </row>
    <row r="758" spans="1:1" ht="14.25" customHeight="1">
      <c r="A758" s="6"/>
    </row>
    <row r="759" spans="1:1" ht="14.25" customHeight="1">
      <c r="A759" s="6"/>
    </row>
    <row r="760" spans="1:1" ht="14.25" customHeight="1">
      <c r="A760" s="6"/>
    </row>
    <row r="761" spans="1:1" ht="14.25" customHeight="1">
      <c r="A761" s="6"/>
    </row>
    <row r="762" spans="1:1" ht="14.25" customHeight="1">
      <c r="A762" s="6"/>
    </row>
    <row r="763" spans="1:1" ht="14.25" customHeight="1">
      <c r="A763" s="6"/>
    </row>
    <row r="764" spans="1:1" ht="14.25" customHeight="1">
      <c r="A764" s="6"/>
    </row>
    <row r="765" spans="1:1" ht="14.25" customHeight="1">
      <c r="A765" s="6"/>
    </row>
    <row r="766" spans="1:1" ht="14.25" customHeight="1">
      <c r="A766" s="6"/>
    </row>
    <row r="767" spans="1:1" ht="14.25" customHeight="1">
      <c r="A767" s="6"/>
    </row>
    <row r="768" spans="1:1" ht="14.25" customHeight="1">
      <c r="A768" s="6"/>
    </row>
    <row r="769" spans="1:1" ht="14.25" customHeight="1">
      <c r="A769" s="6"/>
    </row>
    <row r="770" spans="1:1" ht="14.25" customHeight="1">
      <c r="A770" s="6"/>
    </row>
    <row r="771" spans="1:1" ht="14.25" customHeight="1">
      <c r="A771" s="6"/>
    </row>
    <row r="772" spans="1:1" ht="14.25" customHeight="1">
      <c r="A772" s="6"/>
    </row>
    <row r="773" spans="1:1" ht="14.25" customHeight="1">
      <c r="A773" s="6"/>
    </row>
    <row r="774" spans="1:1" ht="14.25" customHeight="1">
      <c r="A774" s="6"/>
    </row>
    <row r="775" spans="1:1" ht="14.25" customHeight="1">
      <c r="A775" s="6"/>
    </row>
    <row r="776" spans="1:1" ht="14.25" customHeight="1">
      <c r="A776" s="6"/>
    </row>
    <row r="777" spans="1:1" ht="14.25" customHeight="1">
      <c r="A777" s="6"/>
    </row>
    <row r="778" spans="1:1" ht="14.25" customHeight="1">
      <c r="A778" s="6"/>
    </row>
    <row r="779" spans="1:1" ht="14.25" customHeight="1">
      <c r="A779" s="6"/>
    </row>
    <row r="780" spans="1:1" ht="14.25" customHeight="1">
      <c r="A780" s="6"/>
    </row>
    <row r="781" spans="1:1" ht="14.25" customHeight="1">
      <c r="A781" s="6"/>
    </row>
    <row r="782" spans="1:1" ht="14.25" customHeight="1">
      <c r="A782" s="6"/>
    </row>
    <row r="783" spans="1:1" ht="14.25" customHeight="1">
      <c r="A783" s="6"/>
    </row>
    <row r="784" spans="1:1" ht="14.25" customHeight="1">
      <c r="A784" s="6"/>
    </row>
    <row r="785" spans="1:1" ht="14.25" customHeight="1">
      <c r="A785" s="6"/>
    </row>
    <row r="786" spans="1:1" ht="14.25" customHeight="1">
      <c r="A786" s="6"/>
    </row>
    <row r="787" spans="1:1" ht="14.25" customHeight="1">
      <c r="A787" s="6"/>
    </row>
    <row r="788" spans="1:1" ht="14.25" customHeight="1">
      <c r="A788" s="6"/>
    </row>
    <row r="789" spans="1:1" ht="14.25" customHeight="1">
      <c r="A789" s="6"/>
    </row>
    <row r="790" spans="1:1" ht="14.25" customHeight="1">
      <c r="A790" s="6"/>
    </row>
    <row r="791" spans="1:1" ht="14.25" customHeight="1">
      <c r="A791" s="6"/>
    </row>
    <row r="792" spans="1:1" ht="14.25" customHeight="1">
      <c r="A792" s="6"/>
    </row>
    <row r="793" spans="1:1" ht="14.25" customHeight="1">
      <c r="A793" s="6"/>
    </row>
    <row r="794" spans="1:1" ht="14.25" customHeight="1">
      <c r="A794" s="6"/>
    </row>
    <row r="795" spans="1:1" ht="14.25" customHeight="1">
      <c r="A795" s="6"/>
    </row>
    <row r="796" spans="1:1" ht="14.25" customHeight="1">
      <c r="A796" s="6"/>
    </row>
    <row r="797" spans="1:1" ht="14.25" customHeight="1">
      <c r="A797" s="6"/>
    </row>
    <row r="798" spans="1:1" ht="14.25" customHeight="1">
      <c r="A798" s="6"/>
    </row>
    <row r="799" spans="1:1" ht="14.25" customHeight="1">
      <c r="A799" s="6"/>
    </row>
    <row r="800" spans="1:1" ht="14.25" customHeight="1">
      <c r="A800" s="6"/>
    </row>
    <row r="801" spans="1:1" ht="14.25" customHeight="1">
      <c r="A801" s="6"/>
    </row>
    <row r="802" spans="1:1" ht="14.25" customHeight="1">
      <c r="A802" s="6"/>
    </row>
    <row r="803" spans="1:1" ht="14.25" customHeight="1">
      <c r="A803" s="6"/>
    </row>
    <row r="804" spans="1:1" ht="14.25" customHeight="1">
      <c r="A804" s="6"/>
    </row>
    <row r="805" spans="1:1" ht="14.25" customHeight="1">
      <c r="A805" s="6"/>
    </row>
    <row r="806" spans="1:1" ht="14.25" customHeight="1">
      <c r="A806" s="6"/>
    </row>
    <row r="807" spans="1:1" ht="14.25" customHeight="1">
      <c r="A807" s="6"/>
    </row>
    <row r="808" spans="1:1" ht="14.25" customHeight="1">
      <c r="A808" s="6"/>
    </row>
    <row r="809" spans="1:1" ht="14.25" customHeight="1">
      <c r="A809" s="6"/>
    </row>
    <row r="810" spans="1:1" ht="14.25" customHeight="1">
      <c r="A810" s="6"/>
    </row>
    <row r="811" spans="1:1" ht="14.25" customHeight="1">
      <c r="A811" s="6"/>
    </row>
    <row r="812" spans="1:1" ht="14.25" customHeight="1">
      <c r="A812" s="6"/>
    </row>
    <row r="813" spans="1:1" ht="14.25" customHeight="1">
      <c r="A813" s="6"/>
    </row>
    <row r="814" spans="1:1" ht="14.25" customHeight="1">
      <c r="A814" s="6"/>
    </row>
    <row r="815" spans="1:1" ht="14.25" customHeight="1">
      <c r="A815" s="6"/>
    </row>
    <row r="816" spans="1:1" ht="14.25" customHeight="1">
      <c r="A816" s="6"/>
    </row>
    <row r="817" spans="1:1" ht="14.25" customHeight="1">
      <c r="A817" s="6"/>
    </row>
    <row r="818" spans="1:1" ht="14.25" customHeight="1">
      <c r="A818" s="6"/>
    </row>
    <row r="819" spans="1:1" ht="14.25" customHeight="1">
      <c r="A819" s="6"/>
    </row>
    <row r="820" spans="1:1" ht="14.25" customHeight="1">
      <c r="A820" s="6"/>
    </row>
    <row r="821" spans="1:1" ht="14.25" customHeight="1">
      <c r="A821" s="6"/>
    </row>
    <row r="822" spans="1:1" ht="14.25" customHeight="1">
      <c r="A822" s="6"/>
    </row>
    <row r="823" spans="1:1" ht="14.25" customHeight="1">
      <c r="A823" s="6"/>
    </row>
    <row r="824" spans="1:1" ht="14.25" customHeight="1">
      <c r="A824" s="6"/>
    </row>
    <row r="825" spans="1:1" ht="14.25" customHeight="1">
      <c r="A825" s="6"/>
    </row>
    <row r="826" spans="1:1" ht="14.25" customHeight="1">
      <c r="A826" s="6"/>
    </row>
    <row r="827" spans="1:1" ht="14.25" customHeight="1">
      <c r="A827" s="6"/>
    </row>
    <row r="828" spans="1:1" ht="14.25" customHeight="1">
      <c r="A828" s="6"/>
    </row>
    <row r="829" spans="1:1" ht="14.25" customHeight="1">
      <c r="A829" s="6"/>
    </row>
    <row r="830" spans="1:1" ht="14.25" customHeight="1">
      <c r="A830" s="6"/>
    </row>
    <row r="831" spans="1:1" ht="14.25" customHeight="1">
      <c r="A831" s="6"/>
    </row>
    <row r="832" spans="1:1" ht="14.25" customHeight="1">
      <c r="A832" s="6"/>
    </row>
    <row r="833" spans="1:1" ht="14.25" customHeight="1">
      <c r="A833" s="6"/>
    </row>
    <row r="834" spans="1:1" ht="14.25" customHeight="1">
      <c r="A834" s="6"/>
    </row>
    <row r="835" spans="1:1" ht="14.25" customHeight="1">
      <c r="A835" s="6"/>
    </row>
    <row r="836" spans="1:1" ht="14.25" customHeight="1">
      <c r="A836" s="6"/>
    </row>
    <row r="837" spans="1:1" ht="14.25" customHeight="1">
      <c r="A837" s="6"/>
    </row>
    <row r="838" spans="1:1" ht="14.25" customHeight="1">
      <c r="A838" s="6"/>
    </row>
    <row r="839" spans="1:1" ht="14.25" customHeight="1">
      <c r="A839" s="6"/>
    </row>
    <row r="840" spans="1:1" ht="14.25" customHeight="1">
      <c r="A840" s="6"/>
    </row>
    <row r="841" spans="1:1" ht="14.25" customHeight="1">
      <c r="A841" s="6"/>
    </row>
    <row r="842" spans="1:1" ht="14.25" customHeight="1">
      <c r="A842" s="6"/>
    </row>
    <row r="843" spans="1:1" ht="14.25" customHeight="1">
      <c r="A843" s="6"/>
    </row>
    <row r="844" spans="1:1" ht="14.25" customHeight="1">
      <c r="A844" s="6"/>
    </row>
    <row r="845" spans="1:1" ht="14.25" customHeight="1">
      <c r="A845" s="6"/>
    </row>
    <row r="846" spans="1:1" ht="14.25" customHeight="1">
      <c r="A846" s="6"/>
    </row>
    <row r="847" spans="1:1" ht="14.25" customHeight="1">
      <c r="A847" s="6"/>
    </row>
    <row r="848" spans="1:1" ht="14.25" customHeight="1">
      <c r="A848" s="6"/>
    </row>
    <row r="849" spans="1:1" ht="14.25" customHeight="1">
      <c r="A849" s="6"/>
    </row>
    <row r="850" spans="1:1" ht="14.25" customHeight="1">
      <c r="A850" s="6"/>
    </row>
    <row r="851" spans="1:1" ht="14.25" customHeight="1">
      <c r="A851" s="6"/>
    </row>
    <row r="852" spans="1:1" ht="14.25" customHeight="1">
      <c r="A852" s="6"/>
    </row>
    <row r="853" spans="1:1" ht="14.25" customHeight="1">
      <c r="A853" s="6"/>
    </row>
    <row r="854" spans="1:1" ht="14.25" customHeight="1">
      <c r="A854" s="6"/>
    </row>
    <row r="855" spans="1:1" ht="14.25" customHeight="1">
      <c r="A855" s="6"/>
    </row>
    <row r="856" spans="1:1" ht="14.25" customHeight="1">
      <c r="A856" s="6"/>
    </row>
    <row r="857" spans="1:1" ht="14.25" customHeight="1">
      <c r="A857" s="6"/>
    </row>
    <row r="858" spans="1:1" ht="14.25" customHeight="1">
      <c r="A858" s="6"/>
    </row>
    <row r="859" spans="1:1" ht="14.25" customHeight="1">
      <c r="A859" s="6"/>
    </row>
    <row r="860" spans="1:1" ht="14.25" customHeight="1">
      <c r="A860" s="6"/>
    </row>
    <row r="861" spans="1:1" ht="14.25" customHeight="1">
      <c r="A861" s="6"/>
    </row>
    <row r="862" spans="1:1" ht="14.25" customHeight="1">
      <c r="A862" s="6"/>
    </row>
    <row r="863" spans="1:1" ht="14.25" customHeight="1">
      <c r="A863" s="6"/>
    </row>
    <row r="864" spans="1:1" ht="14.25" customHeight="1">
      <c r="A864" s="6"/>
    </row>
    <row r="865" spans="1:1" ht="14.25" customHeight="1">
      <c r="A865" s="6"/>
    </row>
    <row r="866" spans="1:1" ht="14.25" customHeight="1">
      <c r="A866" s="6"/>
    </row>
    <row r="867" spans="1:1" ht="14.25" customHeight="1">
      <c r="A867" s="6"/>
    </row>
    <row r="868" spans="1:1" ht="14.25" customHeight="1">
      <c r="A868" s="6"/>
    </row>
    <row r="869" spans="1:1" ht="14.25" customHeight="1">
      <c r="A869" s="6"/>
    </row>
    <row r="870" spans="1:1" ht="14.25" customHeight="1">
      <c r="A870" s="6"/>
    </row>
    <row r="871" spans="1:1" ht="14.25" customHeight="1">
      <c r="A871" s="6"/>
    </row>
    <row r="872" spans="1:1" ht="14.25" customHeight="1">
      <c r="A872" s="6"/>
    </row>
    <row r="873" spans="1:1" ht="14.25" customHeight="1">
      <c r="A873" s="6"/>
    </row>
    <row r="874" spans="1:1" ht="14.25" customHeight="1">
      <c r="A874" s="6"/>
    </row>
    <row r="875" spans="1:1" ht="14.25" customHeight="1">
      <c r="A875" s="6"/>
    </row>
    <row r="876" spans="1:1" ht="14.25" customHeight="1">
      <c r="A876" s="6"/>
    </row>
    <row r="877" spans="1:1" ht="14.25" customHeight="1">
      <c r="A877" s="6"/>
    </row>
    <row r="878" spans="1:1" ht="14.25" customHeight="1">
      <c r="A878" s="6"/>
    </row>
    <row r="879" spans="1:1" ht="14.25" customHeight="1">
      <c r="A879" s="6"/>
    </row>
    <row r="880" spans="1:1" ht="14.25" customHeight="1">
      <c r="A880" s="6"/>
    </row>
    <row r="881" spans="1:1" ht="14.25" customHeight="1">
      <c r="A881" s="6"/>
    </row>
    <row r="882" spans="1:1" ht="14.25" customHeight="1">
      <c r="A882" s="6"/>
    </row>
    <row r="883" spans="1:1" ht="14.25" customHeight="1">
      <c r="A883" s="6"/>
    </row>
    <row r="884" spans="1:1" ht="14.25" customHeight="1">
      <c r="A884" s="6"/>
    </row>
    <row r="885" spans="1:1" ht="14.25" customHeight="1">
      <c r="A885" s="6"/>
    </row>
    <row r="886" spans="1:1" ht="14.25" customHeight="1">
      <c r="A886" s="6"/>
    </row>
    <row r="887" spans="1:1" ht="14.25" customHeight="1">
      <c r="A887" s="6"/>
    </row>
    <row r="888" spans="1:1" ht="14.25" customHeight="1">
      <c r="A888" s="6"/>
    </row>
    <row r="889" spans="1:1" ht="14.25" customHeight="1">
      <c r="A889" s="6"/>
    </row>
    <row r="890" spans="1:1" ht="14.25" customHeight="1">
      <c r="A890" s="6"/>
    </row>
    <row r="891" spans="1:1" ht="14.25" customHeight="1">
      <c r="A891" s="6"/>
    </row>
    <row r="892" spans="1:1" ht="14.25" customHeight="1">
      <c r="A892" s="6"/>
    </row>
    <row r="893" spans="1:1" ht="14.25" customHeight="1">
      <c r="A893" s="6"/>
    </row>
    <row r="894" spans="1:1" ht="14.25" customHeight="1">
      <c r="A894" s="6"/>
    </row>
    <row r="895" spans="1:1" ht="14.25" customHeight="1">
      <c r="A895" s="6"/>
    </row>
    <row r="896" spans="1:1" ht="14.25" customHeight="1">
      <c r="A896" s="6"/>
    </row>
    <row r="897" spans="1:1" ht="14.25" customHeight="1">
      <c r="A897" s="6"/>
    </row>
    <row r="898" spans="1:1" ht="14.25" customHeight="1">
      <c r="A898" s="6"/>
    </row>
    <row r="899" spans="1:1" ht="14.25" customHeight="1">
      <c r="A899" s="6"/>
    </row>
    <row r="900" spans="1:1" ht="14.25" customHeight="1">
      <c r="A900" s="6"/>
    </row>
    <row r="901" spans="1:1" ht="14.25" customHeight="1">
      <c r="A901" s="6"/>
    </row>
    <row r="902" spans="1:1" ht="14.25" customHeight="1">
      <c r="A902" s="6"/>
    </row>
    <row r="903" spans="1:1" ht="14.25" customHeight="1">
      <c r="A903" s="6"/>
    </row>
    <row r="904" spans="1:1" ht="14.25" customHeight="1">
      <c r="A904" s="6"/>
    </row>
    <row r="905" spans="1:1" ht="14.25" customHeight="1">
      <c r="A905" s="6"/>
    </row>
    <row r="906" spans="1:1" ht="14.25" customHeight="1">
      <c r="A906" s="6"/>
    </row>
    <row r="907" spans="1:1" ht="14.25" customHeight="1">
      <c r="A907" s="6"/>
    </row>
    <row r="908" spans="1:1" ht="14.25" customHeight="1">
      <c r="A908" s="6"/>
    </row>
    <row r="909" spans="1:1" ht="14.25" customHeight="1">
      <c r="A909" s="6"/>
    </row>
    <row r="910" spans="1:1" ht="14.25" customHeight="1">
      <c r="A910" s="6"/>
    </row>
    <row r="911" spans="1:1" ht="14.25" customHeight="1">
      <c r="A911" s="6"/>
    </row>
    <row r="912" spans="1:1" ht="14.25" customHeight="1">
      <c r="A912" s="6"/>
    </row>
    <row r="913" spans="1:1" ht="14.25" customHeight="1">
      <c r="A913" s="6"/>
    </row>
    <row r="914" spans="1:1" ht="14.25" customHeight="1">
      <c r="A914" s="6"/>
    </row>
    <row r="915" spans="1:1" ht="14.25" customHeight="1">
      <c r="A915" s="6"/>
    </row>
    <row r="916" spans="1:1" ht="14.25" customHeight="1">
      <c r="A916" s="6"/>
    </row>
    <row r="917" spans="1:1" ht="14.25" customHeight="1">
      <c r="A917" s="6"/>
    </row>
    <row r="918" spans="1:1" ht="14.25" customHeight="1">
      <c r="A918" s="6"/>
    </row>
    <row r="919" spans="1:1" ht="14.25" customHeight="1">
      <c r="A919" s="6"/>
    </row>
    <row r="920" spans="1:1" ht="14.25" customHeight="1">
      <c r="A920" s="6"/>
    </row>
    <row r="921" spans="1:1" ht="14.25" customHeight="1">
      <c r="A921" s="6"/>
    </row>
    <row r="922" spans="1:1" ht="14.25" customHeight="1">
      <c r="A922" s="6"/>
    </row>
    <row r="923" spans="1:1" ht="14.25" customHeight="1">
      <c r="A923" s="6"/>
    </row>
    <row r="924" spans="1:1" ht="14.25" customHeight="1">
      <c r="A924" s="6"/>
    </row>
    <row r="925" spans="1:1" ht="14.25" customHeight="1">
      <c r="A925" s="6"/>
    </row>
    <row r="926" spans="1:1" ht="14.25" customHeight="1">
      <c r="A926" s="6"/>
    </row>
    <row r="927" spans="1:1" ht="14.25" customHeight="1">
      <c r="A927" s="6"/>
    </row>
    <row r="928" spans="1:1" ht="14.25" customHeight="1">
      <c r="A928" s="6"/>
    </row>
    <row r="929" spans="1:1" ht="14.25" customHeight="1">
      <c r="A929" s="6"/>
    </row>
    <row r="930" spans="1:1" ht="14.25" customHeight="1">
      <c r="A930" s="6"/>
    </row>
    <row r="931" spans="1:1" ht="14.25" customHeight="1">
      <c r="A931" s="6"/>
    </row>
    <row r="932" spans="1:1" ht="14.25" customHeight="1">
      <c r="A932" s="6"/>
    </row>
    <row r="933" spans="1:1" ht="14.25" customHeight="1">
      <c r="A933" s="6"/>
    </row>
    <row r="934" spans="1:1" ht="14.25" customHeight="1">
      <c r="A934" s="6"/>
    </row>
    <row r="935" spans="1:1" ht="14.25" customHeight="1">
      <c r="A935" s="6"/>
    </row>
    <row r="936" spans="1:1" ht="14.25" customHeight="1">
      <c r="A936" s="6"/>
    </row>
    <row r="937" spans="1:1" ht="14.25" customHeight="1">
      <c r="A937" s="6"/>
    </row>
    <row r="938" spans="1:1" ht="14.25" customHeight="1">
      <c r="A938" s="6"/>
    </row>
    <row r="939" spans="1:1" ht="14.25" customHeight="1">
      <c r="A939" s="6"/>
    </row>
    <row r="940" spans="1:1" ht="14.25" customHeight="1">
      <c r="A940" s="6"/>
    </row>
    <row r="941" spans="1:1" ht="14.25" customHeight="1">
      <c r="A941" s="6"/>
    </row>
    <row r="942" spans="1:1" ht="14.25" customHeight="1">
      <c r="A942" s="6"/>
    </row>
    <row r="943" spans="1:1" ht="14.25" customHeight="1">
      <c r="A943" s="6"/>
    </row>
    <row r="944" spans="1:1" ht="14.25" customHeight="1">
      <c r="A944" s="6"/>
    </row>
    <row r="945" spans="1:1" ht="14.25" customHeight="1">
      <c r="A945" s="6"/>
    </row>
    <row r="946" spans="1:1" ht="14.25" customHeight="1">
      <c r="A946" s="6"/>
    </row>
    <row r="947" spans="1:1" ht="14.25" customHeight="1">
      <c r="A947" s="6"/>
    </row>
    <row r="948" spans="1:1" ht="14.25" customHeight="1">
      <c r="A948" s="6"/>
    </row>
    <row r="949" spans="1:1" ht="14.25" customHeight="1">
      <c r="A949" s="6"/>
    </row>
    <row r="950" spans="1:1" ht="14.25" customHeight="1">
      <c r="A950" s="6"/>
    </row>
    <row r="951" spans="1:1" ht="14.25" customHeight="1">
      <c r="A951" s="6"/>
    </row>
    <row r="952" spans="1:1" ht="14.25" customHeight="1">
      <c r="A952" s="6"/>
    </row>
    <row r="953" spans="1:1" ht="14.25" customHeight="1">
      <c r="A953" s="6"/>
    </row>
    <row r="954" spans="1:1" ht="14.25" customHeight="1">
      <c r="A954" s="6"/>
    </row>
    <row r="955" spans="1:1" ht="14.25" customHeight="1">
      <c r="A955" s="6"/>
    </row>
    <row r="956" spans="1:1" ht="14.25" customHeight="1">
      <c r="A956" s="6"/>
    </row>
    <row r="957" spans="1:1" ht="14.25" customHeight="1">
      <c r="A957" s="6"/>
    </row>
    <row r="958" spans="1:1" ht="14.25" customHeight="1">
      <c r="A958" s="6"/>
    </row>
    <row r="959" spans="1:1" ht="14.25" customHeight="1">
      <c r="A959" s="6"/>
    </row>
    <row r="960" spans="1:1" ht="14.25" customHeight="1">
      <c r="A960" s="6"/>
    </row>
    <row r="961" spans="1:1" ht="14.25" customHeight="1">
      <c r="A961" s="6"/>
    </row>
    <row r="962" spans="1:1" ht="14.25" customHeight="1">
      <c r="A962" s="6"/>
    </row>
    <row r="963" spans="1:1" ht="14.25" customHeight="1">
      <c r="A963" s="6"/>
    </row>
    <row r="964" spans="1:1" ht="14.25" customHeight="1">
      <c r="A964" s="6"/>
    </row>
    <row r="965" spans="1:1" ht="14.25" customHeight="1">
      <c r="A965" s="6"/>
    </row>
    <row r="966" spans="1:1" ht="14.25" customHeight="1">
      <c r="A966" s="6"/>
    </row>
    <row r="967" spans="1:1" ht="14.25" customHeight="1">
      <c r="A967" s="6"/>
    </row>
    <row r="968" spans="1:1" ht="14.25" customHeight="1">
      <c r="A968" s="6"/>
    </row>
    <row r="969" spans="1:1" ht="14.25" customHeight="1">
      <c r="A969" s="6"/>
    </row>
    <row r="970" spans="1:1" ht="14.25" customHeight="1">
      <c r="A970" s="6"/>
    </row>
    <row r="971" spans="1:1" ht="14.25" customHeight="1">
      <c r="A971" s="6"/>
    </row>
    <row r="972" spans="1:1" ht="14.25" customHeight="1">
      <c r="A972" s="6"/>
    </row>
    <row r="973" spans="1:1" ht="14.25" customHeight="1">
      <c r="A973" s="6"/>
    </row>
    <row r="974" spans="1:1" ht="14.25" customHeight="1">
      <c r="A974" s="6"/>
    </row>
    <row r="975" spans="1:1" ht="14.25" customHeight="1">
      <c r="A975" s="6"/>
    </row>
    <row r="976" spans="1:1" ht="14.25" customHeight="1">
      <c r="A976" s="6"/>
    </row>
    <row r="977" spans="1:1" ht="14.25" customHeight="1">
      <c r="A977" s="6"/>
    </row>
    <row r="978" spans="1:1" ht="14.25" customHeight="1">
      <c r="A978" s="6"/>
    </row>
    <row r="979" spans="1:1" ht="14.25" customHeight="1">
      <c r="A979" s="6"/>
    </row>
    <row r="980" spans="1:1" ht="14.25" customHeight="1">
      <c r="A980" s="6"/>
    </row>
    <row r="981" spans="1:1" ht="14.25" customHeight="1">
      <c r="A981" s="6"/>
    </row>
    <row r="982" spans="1:1" ht="14.25" customHeight="1">
      <c r="A982" s="6"/>
    </row>
    <row r="983" spans="1:1" ht="14.25" customHeight="1">
      <c r="A983" s="6"/>
    </row>
    <row r="984" spans="1:1" ht="14.25" customHeight="1">
      <c r="A984" s="6"/>
    </row>
    <row r="985" spans="1:1" ht="14.25" customHeight="1">
      <c r="A985" s="6"/>
    </row>
    <row r="986" spans="1:1" ht="14.25" customHeight="1">
      <c r="A986" s="6"/>
    </row>
    <row r="987" spans="1:1" ht="14.25" customHeight="1">
      <c r="A987" s="6"/>
    </row>
    <row r="988" spans="1:1" ht="14.25" customHeight="1">
      <c r="A988" s="6"/>
    </row>
    <row r="989" spans="1:1" ht="14.25" customHeight="1">
      <c r="A989" s="6"/>
    </row>
    <row r="990" spans="1:1" ht="14.25" customHeight="1">
      <c r="A990" s="6"/>
    </row>
    <row r="991" spans="1:1" ht="14.25" customHeight="1">
      <c r="A991" s="6"/>
    </row>
    <row r="992" spans="1:1" ht="14.25" customHeight="1">
      <c r="A992" s="6"/>
    </row>
    <row r="993" spans="1:1" ht="14.25" customHeight="1">
      <c r="A993" s="6"/>
    </row>
    <row r="994" spans="1:1" ht="14.25" customHeight="1">
      <c r="A994" s="6"/>
    </row>
    <row r="995" spans="1:1" ht="14.25" customHeight="1">
      <c r="A995" s="6"/>
    </row>
    <row r="996" spans="1:1" ht="14.25" customHeight="1">
      <c r="A996" s="6"/>
    </row>
    <row r="997" spans="1:1" ht="14.25" customHeight="1">
      <c r="A997" s="6"/>
    </row>
    <row r="998" spans="1:1" ht="14.25" customHeight="1">
      <c r="A998" s="6"/>
    </row>
    <row r="999" spans="1:1" ht="14.25" customHeight="1">
      <c r="A999" s="6"/>
    </row>
    <row r="1000" spans="1:1" ht="14.25" customHeight="1">
      <c r="A1000" s="6"/>
    </row>
    <row r="1001" spans="1:1" ht="14.25" customHeight="1">
      <c r="A1001" s="6"/>
    </row>
    <row r="1002" spans="1:1" ht="14.25" customHeight="1">
      <c r="A1002" s="6"/>
    </row>
    <row r="1003" spans="1:1" ht="14.25" customHeight="1">
      <c r="A1003" s="6"/>
    </row>
    <row r="1004" spans="1:1" ht="14.25" customHeight="1">
      <c r="A1004" s="6"/>
    </row>
    <row r="1005" spans="1:1" ht="14.25" customHeight="1">
      <c r="A1005" s="6"/>
    </row>
    <row r="1006" spans="1:1" ht="14.25" customHeight="1">
      <c r="A1006" s="6"/>
    </row>
    <row r="1007" spans="1:1" ht="14.25" customHeight="1">
      <c r="A1007" s="6"/>
    </row>
    <row r="1008" spans="1:1" ht="14.25" customHeight="1">
      <c r="A1008" s="6"/>
    </row>
    <row r="1009" spans="1:1" ht="14.25" customHeight="1">
      <c r="A1009" s="6"/>
    </row>
    <row r="1010" spans="1:1" ht="14.25" customHeight="1">
      <c r="A1010" s="6"/>
    </row>
    <row r="1011" spans="1:1" ht="14.25" customHeight="1">
      <c r="A1011" s="6"/>
    </row>
    <row r="1012" spans="1:1" ht="14.25" customHeight="1">
      <c r="A1012" s="6"/>
    </row>
    <row r="1013" spans="1:1" ht="14.25" customHeight="1">
      <c r="A1013" s="6"/>
    </row>
    <row r="1014" spans="1:1" ht="14.25" customHeight="1">
      <c r="A1014" s="6"/>
    </row>
    <row r="1015" spans="1:1" ht="14.25" customHeight="1">
      <c r="A1015" s="6"/>
    </row>
    <row r="1016" spans="1:1" ht="14.25" customHeight="1">
      <c r="A1016" s="6"/>
    </row>
    <row r="1017" spans="1:1" ht="14.25" customHeight="1">
      <c r="A1017" s="6"/>
    </row>
    <row r="1018" spans="1:1" ht="14.25" customHeight="1">
      <c r="A1018" s="6"/>
    </row>
    <row r="1019" spans="1:1" ht="14.25" customHeight="1">
      <c r="A1019" s="6"/>
    </row>
    <row r="1020" spans="1:1" ht="14.25" customHeight="1">
      <c r="A1020" s="6"/>
    </row>
    <row r="1021" spans="1:1" ht="14.25" customHeight="1">
      <c r="A1021" s="6"/>
    </row>
    <row r="1022" spans="1:1" ht="14.25" customHeight="1">
      <c r="A1022" s="6"/>
    </row>
    <row r="1023" spans="1:1" ht="14.25" customHeight="1">
      <c r="A1023" s="6"/>
    </row>
    <row r="1024" spans="1:1" ht="14.25" customHeight="1">
      <c r="A1024" s="6"/>
    </row>
    <row r="1025" spans="1:1" ht="14.25" customHeight="1">
      <c r="A1025" s="6"/>
    </row>
    <row r="1026" spans="1:1" ht="14.25" customHeight="1">
      <c r="A1026" s="6"/>
    </row>
    <row r="1027" spans="1:1" ht="14.25" customHeight="1">
      <c r="A1027" s="6"/>
    </row>
    <row r="1028" spans="1:1" ht="14.25" customHeight="1">
      <c r="A1028" s="6"/>
    </row>
    <row r="1029" spans="1:1" ht="14.25" customHeight="1">
      <c r="A1029" s="6"/>
    </row>
    <row r="1030" spans="1:1" ht="14.25" customHeight="1">
      <c r="A1030" s="6"/>
    </row>
    <row r="1031" spans="1:1" ht="14.25" customHeight="1">
      <c r="A1031" s="6"/>
    </row>
    <row r="1032" spans="1:1" ht="14.25" customHeight="1">
      <c r="A1032" s="6"/>
    </row>
    <row r="1033" spans="1:1" ht="14.25" customHeight="1">
      <c r="A1033" s="6"/>
    </row>
    <row r="1034" spans="1:1" ht="14.25" customHeight="1">
      <c r="A1034" s="6"/>
    </row>
    <row r="1035" spans="1:1" ht="14.25" customHeight="1">
      <c r="A1035" s="6"/>
    </row>
    <row r="1036" spans="1:1" ht="14.25" customHeight="1">
      <c r="A1036" s="6"/>
    </row>
    <row r="1037" spans="1:1" ht="14.25" customHeight="1">
      <c r="A1037" s="6"/>
    </row>
    <row r="1038" spans="1:1" ht="14.25" customHeight="1">
      <c r="A1038" s="6"/>
    </row>
    <row r="1039" spans="1:1" ht="14.25" customHeight="1">
      <c r="A1039" s="6"/>
    </row>
    <row r="1040" spans="1:1" ht="14.25" customHeight="1">
      <c r="A1040" s="6"/>
    </row>
    <row r="1041" spans="1:1" ht="14.25" customHeight="1">
      <c r="A1041" s="6"/>
    </row>
    <row r="1042" spans="1:1" ht="14.25" customHeight="1">
      <c r="A1042" s="6"/>
    </row>
    <row r="1043" spans="1:1" ht="14.25" customHeight="1">
      <c r="A1043" s="6"/>
    </row>
    <row r="1044" spans="1:1" ht="14.25" customHeight="1">
      <c r="A1044" s="6"/>
    </row>
    <row r="1045" spans="1:1" ht="14.25" customHeight="1">
      <c r="A1045" s="6"/>
    </row>
    <row r="1046" spans="1:1" ht="14.25" customHeight="1">
      <c r="A1046" s="6"/>
    </row>
    <row r="1047" spans="1:1" ht="14.25" customHeight="1">
      <c r="A1047" s="6"/>
    </row>
    <row r="1048" spans="1:1" ht="14.25" customHeight="1">
      <c r="A1048" s="6"/>
    </row>
    <row r="1049" spans="1:1" ht="14.25" customHeight="1">
      <c r="A1049" s="6"/>
    </row>
    <row r="1050" spans="1:1" ht="14.25" customHeight="1">
      <c r="A1050" s="6"/>
    </row>
    <row r="1051" spans="1:1" ht="14.25" customHeight="1">
      <c r="A1051" s="6"/>
    </row>
    <row r="1052" spans="1:1" ht="14.25" customHeight="1">
      <c r="A1052" s="6"/>
    </row>
    <row r="1053" spans="1:1" ht="14.25" customHeight="1">
      <c r="A1053" s="6"/>
    </row>
    <row r="1054" spans="1:1" ht="14.25" customHeight="1">
      <c r="A1054" s="6"/>
    </row>
    <row r="1055" spans="1:1" ht="14.25" customHeight="1">
      <c r="A1055" s="6"/>
    </row>
    <row r="1056" spans="1:1" ht="14.25" customHeight="1">
      <c r="A1056" s="6"/>
    </row>
    <row r="1057" spans="1:1" ht="14.25" customHeight="1">
      <c r="A1057" s="6"/>
    </row>
    <row r="1058" spans="1:1" ht="14.25" customHeight="1">
      <c r="A1058" s="6"/>
    </row>
    <row r="1059" spans="1:1" ht="14.25" customHeight="1">
      <c r="A1059" s="6"/>
    </row>
    <row r="1060" spans="1:1" ht="14.25" customHeight="1">
      <c r="A1060" s="6"/>
    </row>
    <row r="1061" spans="1:1" ht="14.25" customHeight="1">
      <c r="A1061" s="6"/>
    </row>
    <row r="1062" spans="1:1" ht="14.25" customHeight="1">
      <c r="A1062" s="6"/>
    </row>
    <row r="1063" spans="1:1" ht="14.25" customHeight="1">
      <c r="A1063" s="6"/>
    </row>
    <row r="1064" spans="1:1" ht="14.25" customHeight="1">
      <c r="A1064" s="6"/>
    </row>
    <row r="1065" spans="1:1" ht="14.25" customHeight="1">
      <c r="A1065" s="6"/>
    </row>
    <row r="1066" spans="1:1" ht="14.25" customHeight="1">
      <c r="A1066" s="6"/>
    </row>
    <row r="1067" spans="1:1" ht="14.25" customHeight="1">
      <c r="A1067" s="6"/>
    </row>
    <row r="1068" spans="1:1" ht="14.25" customHeight="1">
      <c r="A1068" s="6"/>
    </row>
    <row r="1069" spans="1:1" ht="14.25" customHeight="1">
      <c r="A1069" s="6"/>
    </row>
    <row r="1070" spans="1:1" ht="14.25" customHeight="1">
      <c r="A1070" s="6"/>
    </row>
    <row r="1071" spans="1:1" ht="14.25" customHeight="1">
      <c r="A1071" s="6"/>
    </row>
    <row r="1072" spans="1:1" ht="14.25" customHeight="1">
      <c r="A1072" s="6"/>
    </row>
    <row r="1073" spans="1:1" ht="14.25" customHeight="1">
      <c r="A1073" s="6"/>
    </row>
    <row r="1074" spans="1:1" ht="14.25" customHeight="1">
      <c r="A1074" s="6"/>
    </row>
    <row r="1075" spans="1:1" ht="14.25" customHeight="1">
      <c r="A1075" s="6"/>
    </row>
    <row r="1076" spans="1:1" ht="14.25" customHeight="1">
      <c r="A1076" s="6"/>
    </row>
    <row r="1077" spans="1:1" ht="14.25" customHeight="1">
      <c r="A1077" s="6"/>
    </row>
    <row r="1078" spans="1:1" ht="14.25" customHeight="1">
      <c r="A1078" s="6"/>
    </row>
    <row r="1079" spans="1:1" ht="14.25" customHeight="1">
      <c r="A1079" s="6"/>
    </row>
    <row r="1080" spans="1:1" ht="14.25" customHeight="1">
      <c r="A1080" s="6"/>
    </row>
    <row r="1081" spans="1:1" ht="14.25" customHeight="1">
      <c r="A1081" s="6"/>
    </row>
    <row r="1082" spans="1:1" ht="14.25" customHeight="1">
      <c r="A1082" s="6"/>
    </row>
    <row r="1083" spans="1:1" ht="14.25" customHeight="1">
      <c r="A1083" s="6"/>
    </row>
    <row r="1084" spans="1:1" ht="14.25" customHeight="1">
      <c r="A1084" s="6"/>
    </row>
    <row r="1085" spans="1:1" ht="14.25" customHeight="1">
      <c r="A1085" s="6"/>
    </row>
    <row r="1086" spans="1:1" ht="14.25" customHeight="1">
      <c r="A1086" s="6"/>
    </row>
    <row r="1087" spans="1:1" ht="14.25" customHeight="1">
      <c r="A1087" s="6"/>
    </row>
    <row r="1088" spans="1:1" ht="14.25" customHeight="1">
      <c r="A1088" s="6"/>
    </row>
    <row r="1089" spans="1:1" ht="14.25" customHeight="1">
      <c r="A1089" s="6"/>
    </row>
    <row r="1090" spans="1:1" ht="14.25" customHeight="1">
      <c r="A1090" s="6"/>
    </row>
    <row r="1091" spans="1:1" ht="14.25" customHeight="1">
      <c r="A1091" s="6"/>
    </row>
    <row r="1092" spans="1:1" ht="14.25" customHeight="1">
      <c r="A1092" s="6"/>
    </row>
    <row r="1093" spans="1:1" ht="14.25" customHeight="1">
      <c r="A1093" s="6"/>
    </row>
    <row r="1094" spans="1:1" ht="14.25" customHeight="1">
      <c r="A1094" s="6"/>
    </row>
    <row r="1095" spans="1:1" ht="14.25" customHeight="1">
      <c r="A1095" s="6"/>
    </row>
    <row r="1096" spans="1:1" ht="14.25" customHeight="1">
      <c r="A1096" s="6"/>
    </row>
    <row r="1097" spans="1:1" ht="14.25" customHeight="1">
      <c r="A1097" s="6"/>
    </row>
    <row r="1098" spans="1:1" ht="14.25" customHeight="1">
      <c r="A1098" s="6"/>
    </row>
    <row r="1099" spans="1:1" ht="14.25" customHeight="1">
      <c r="A1099" s="6"/>
    </row>
    <row r="1100" spans="1:1" ht="14.25" customHeight="1">
      <c r="A1100" s="6"/>
    </row>
    <row r="1101" spans="1:1" ht="14.25" customHeight="1">
      <c r="A1101" s="6"/>
    </row>
    <row r="1102" spans="1:1" ht="14.25" customHeight="1">
      <c r="A1102" s="6"/>
    </row>
    <row r="1103" spans="1:1" ht="14.25" customHeight="1">
      <c r="A1103" s="6"/>
    </row>
    <row r="1104" spans="1:1" ht="14.25" customHeight="1">
      <c r="A1104" s="6"/>
    </row>
    <row r="1105" spans="1:1" ht="14.25" customHeight="1">
      <c r="A1105" s="6"/>
    </row>
    <row r="1106" spans="1:1" ht="14.25" customHeight="1">
      <c r="A1106" s="6"/>
    </row>
    <row r="1107" spans="1:1" ht="14.25" customHeight="1">
      <c r="A1107" s="6"/>
    </row>
    <row r="1108" spans="1:1" ht="14.25" customHeight="1">
      <c r="A1108" s="6"/>
    </row>
    <row r="1109" spans="1:1" ht="14.25" customHeight="1">
      <c r="A1109" s="6"/>
    </row>
    <row r="1110" spans="1:1" ht="14.25" customHeight="1">
      <c r="A1110" s="6"/>
    </row>
    <row r="1111" spans="1:1" ht="14.25" customHeight="1">
      <c r="A1111" s="6"/>
    </row>
    <row r="1112" spans="1:1" ht="14.25" customHeight="1">
      <c r="A1112" s="6"/>
    </row>
    <row r="1113" spans="1:1" ht="14.25" customHeight="1">
      <c r="A1113" s="6"/>
    </row>
    <row r="1114" spans="1:1" ht="14.25" customHeight="1">
      <c r="A1114" s="6"/>
    </row>
    <row r="1115" spans="1:1" ht="14.25" customHeight="1">
      <c r="A1115" s="6"/>
    </row>
    <row r="1116" spans="1:1" ht="14.25" customHeight="1">
      <c r="A1116" s="6"/>
    </row>
    <row r="1117" spans="1:1" ht="14.25" customHeight="1">
      <c r="A1117" s="6"/>
    </row>
    <row r="1118" spans="1:1" ht="14.25" customHeight="1">
      <c r="A1118" s="6"/>
    </row>
  </sheetData>
  <mergeCells count="21">
    <mergeCell ref="T152:U152"/>
    <mergeCell ref="I153:M153"/>
    <mergeCell ref="O153:S153"/>
    <mergeCell ref="C149:G149"/>
    <mergeCell ref="I149:M149"/>
    <mergeCell ref="O149:S149"/>
    <mergeCell ref="C152:G152"/>
    <mergeCell ref="I152:M152"/>
    <mergeCell ref="O152:S152"/>
    <mergeCell ref="B10:B11"/>
    <mergeCell ref="C10:G10"/>
    <mergeCell ref="H10:H11"/>
    <mergeCell ref="I10:M10"/>
    <mergeCell ref="N10:N11"/>
    <mergeCell ref="O10:S10"/>
    <mergeCell ref="B1:D1"/>
    <mergeCell ref="F6:G6"/>
    <mergeCell ref="H6:I6"/>
    <mergeCell ref="J6:K6"/>
    <mergeCell ref="F8:G8"/>
    <mergeCell ref="H8:I8"/>
  </mergeCells>
  <pageMargins left="0.48" right="0.44" top="0.76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12,13 y 15-01-2026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2026-10-10T02:43:35Z</dcterms:created>
  <dcterms:modified xsi:type="dcterms:W3CDTF">2026-10-10T02:48:42Z</dcterms:modified>
</cp:coreProperties>
</file>